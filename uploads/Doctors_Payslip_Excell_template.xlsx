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U:\Downloads\"/>
    </mc:Choice>
  </mc:AlternateContent>
  <xr:revisionPtr revIDLastSave="0" documentId="13_ncr:1_{3A23B8B1-EC2B-402B-8996-460B6FD3FC28}" xr6:coauthVersionLast="47" xr6:coauthVersionMax="47" xr10:uidLastSave="{00000000-0000-0000-0000-000000000000}"/>
  <bookViews>
    <workbookView xWindow="-110" yWindow="-110" windowWidth="19420" windowHeight="10300" xr2:uid="{4929491E-64C7-415B-B5F0-43A6C936BFEA}"/>
  </bookViews>
  <sheets>
    <sheet name="Doctors Payslip" sheetId="1" r:id="rId1"/>
  </sheets>
  <definedNames>
    <definedName name="_xlnm._FilterDatabase" localSheetId="0" hidden="1">'Doctors Payslip'!$D$1:$U$92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2" i="1"/>
</calcChain>
</file>

<file path=xl/sharedStrings.xml><?xml version="1.0" encoding="utf-8"?>
<sst xmlns="http://schemas.openxmlformats.org/spreadsheetml/2006/main" count="993" uniqueCount="526">
  <si>
    <t>Month</t>
  </si>
  <si>
    <t>Doctor Name</t>
  </si>
  <si>
    <t>Department</t>
  </si>
  <si>
    <t>Designation</t>
  </si>
  <si>
    <t>Professional Fee</t>
  </si>
  <si>
    <t>Emp Code</t>
  </si>
  <si>
    <t>Date of Joining</t>
  </si>
  <si>
    <t>Location</t>
  </si>
  <si>
    <t>Unit</t>
  </si>
  <si>
    <t>Bank Name</t>
  </si>
  <si>
    <t>Bank account No</t>
  </si>
  <si>
    <t>IFSC</t>
  </si>
  <si>
    <t>PAN No</t>
  </si>
  <si>
    <t>M-Days</t>
  </si>
  <si>
    <t>Present days</t>
  </si>
  <si>
    <t>WO</t>
  </si>
  <si>
    <t>HH</t>
  </si>
  <si>
    <t>CO</t>
  </si>
  <si>
    <t>CL</t>
  </si>
  <si>
    <t>LOP Days</t>
  </si>
  <si>
    <t>TDS</t>
  </si>
  <si>
    <t>Net Pay</t>
  </si>
  <si>
    <t>YTD Professional Fee</t>
  </si>
  <si>
    <t>YTD TDS</t>
  </si>
  <si>
    <t>YTD Net Pay</t>
  </si>
  <si>
    <t>Dr. Prabhakar Reddy</t>
  </si>
  <si>
    <t>Dr.Vinay H N</t>
  </si>
  <si>
    <t>Dr. Muralidhara T R</t>
  </si>
  <si>
    <t>Dr. Madhusudhan HR</t>
  </si>
  <si>
    <t>Dr. Nagesh R</t>
  </si>
  <si>
    <t>Dr. Sudhindra Rao Kulkarni</t>
  </si>
  <si>
    <t>Dr. Aswath Kumar A.C</t>
  </si>
  <si>
    <t>Dr. Devi Prasad Hegde V</t>
  </si>
  <si>
    <t>Dr. Chitra P</t>
  </si>
  <si>
    <t>Dr. Ravikiran S J</t>
  </si>
  <si>
    <t>Dr. Shashikiran A R</t>
  </si>
  <si>
    <t>Dr. Suresh C H</t>
  </si>
  <si>
    <t>Dr. Sabarish</t>
  </si>
  <si>
    <t>Dr. Rakesh Singeri</t>
  </si>
  <si>
    <t>Dr. Krishna Kishore C</t>
  </si>
  <si>
    <t>Dr. Madhusudhana B</t>
  </si>
  <si>
    <t>Dr. Tejaswini H</t>
  </si>
  <si>
    <t>Dr. Swati Kulkarni</t>
  </si>
  <si>
    <t>Dr. Vasudha</t>
  </si>
  <si>
    <t>Dr. Sirinivas Bojanapu</t>
  </si>
  <si>
    <t>Dr. Jagadeesh P C</t>
  </si>
  <si>
    <t>Dr. Divya D</t>
  </si>
  <si>
    <t>Dr. Parmar Hetailbel</t>
  </si>
  <si>
    <t>Dr.Vinay C</t>
  </si>
  <si>
    <t>Dr.Srilatha</t>
  </si>
  <si>
    <t>Dr.Sachin D</t>
  </si>
  <si>
    <t>Dr Ganesh V</t>
  </si>
  <si>
    <t>Dr.Manjunath H G</t>
  </si>
  <si>
    <t>Dr.Chadalavada Kranthi Mohan</t>
  </si>
  <si>
    <t>Dr.Ganesh Shenoy</t>
  </si>
  <si>
    <t>Dr.Amol</t>
  </si>
  <si>
    <t>Dr.Marina thomas</t>
  </si>
  <si>
    <t>Dr Shubha Vishnu Hegde</t>
  </si>
  <si>
    <t xml:space="preserve">Dr Ranganathan </t>
  </si>
  <si>
    <t>Dr Satish Chandra Bellave</t>
  </si>
  <si>
    <t>Dr Srinath Aswathaiah</t>
  </si>
  <si>
    <t>Dr Sayajirao Shivaji</t>
  </si>
  <si>
    <t>Dr Priya</t>
  </si>
  <si>
    <t>Dr Madhusudana N</t>
  </si>
  <si>
    <t>Dr Roopa A H</t>
  </si>
  <si>
    <t>Dr Kakoli Lahkar</t>
  </si>
  <si>
    <t>Dr Geeta Nandakishore Shapur</t>
  </si>
  <si>
    <t>Dr Rashmi Verma</t>
  </si>
  <si>
    <t>Dr Suguna M</t>
  </si>
  <si>
    <t xml:space="preserve">Dr Manjunath </t>
  </si>
  <si>
    <t xml:space="preserve">Dr Jagadish Kaushik </t>
  </si>
  <si>
    <t>Dr Sudarshan</t>
  </si>
  <si>
    <t>Dr.Annam Sri Lakshmi</t>
  </si>
  <si>
    <t>Dr Ramakrishna Eswaran</t>
  </si>
  <si>
    <t>Dr Harsha Narayanamurthy</t>
  </si>
  <si>
    <t xml:space="preserve">Dr Muhusina </t>
  </si>
  <si>
    <t>Dr Samuela Cian Rego</t>
  </si>
  <si>
    <t>Dr Deepashree</t>
  </si>
  <si>
    <t>Dr Mamatha R</t>
  </si>
  <si>
    <t>Dr Akshatha Ravindra</t>
  </si>
  <si>
    <t>Dr Malvika Nagpura</t>
  </si>
  <si>
    <t>Dr Paneendra Sudharshan</t>
  </si>
  <si>
    <t xml:space="preserve">Dr Shadab Alam </t>
  </si>
  <si>
    <t>Dr Kaushik</t>
  </si>
  <si>
    <t>Dr Chandana</t>
  </si>
  <si>
    <t>Dr Komal Sinha</t>
  </si>
  <si>
    <t>Dr.Abhisek Tripathy</t>
  </si>
  <si>
    <t>Dr.Naeem K C</t>
  </si>
  <si>
    <t>Dr Chaithra</t>
  </si>
  <si>
    <t>Dr Vijayalakshmi</t>
  </si>
  <si>
    <t>Dr Anupam Jaiswal</t>
  </si>
  <si>
    <t>Dr Manisha Elsa Varghese</t>
  </si>
  <si>
    <t>Dr Kiran Petkar</t>
  </si>
  <si>
    <t>Dr Raman Shobana</t>
  </si>
  <si>
    <t xml:space="preserve">Dr Neha Rajkumar Jain </t>
  </si>
  <si>
    <t xml:space="preserve">Dr Rachana Kishore Ubrangala </t>
  </si>
  <si>
    <t>Dr Adarsh Manjunath</t>
  </si>
  <si>
    <t xml:space="preserve">Dr Manjunath G </t>
  </si>
  <si>
    <t>Dr Sumathi</t>
  </si>
  <si>
    <t>Dr Sandesh</t>
  </si>
  <si>
    <t>Dr. Prapti Reddy</t>
  </si>
  <si>
    <t>Dr. Pavan Kumar</t>
  </si>
  <si>
    <t>Dr. Sweekruti Hegde</t>
  </si>
  <si>
    <t>Dr. Sandhya Devarakonda</t>
  </si>
  <si>
    <t>Dr. Gagan Tej</t>
  </si>
  <si>
    <t>Dr. Kshama Balakrishna</t>
  </si>
  <si>
    <t>Dr Swetha Choudhary</t>
  </si>
  <si>
    <t>Dr Vivekanand D Hiremath</t>
  </si>
  <si>
    <t>Dr Somsharan Betgeri</t>
  </si>
  <si>
    <t>Dr Sharang Santoshrao Kulkarni</t>
  </si>
  <si>
    <t>Dr Akshay Shetty T</t>
  </si>
  <si>
    <t>Dr Goutam V</t>
  </si>
  <si>
    <t>Dr Sharmila</t>
  </si>
  <si>
    <t>Dr Chandana Vidya Shankar</t>
  </si>
  <si>
    <t>Dr Suresh Kumar K</t>
  </si>
  <si>
    <t>Dr Sathishkumar E</t>
  </si>
  <si>
    <t>August</t>
  </si>
  <si>
    <t>03/10/2025</t>
  </si>
  <si>
    <t>04/10/2025</t>
  </si>
  <si>
    <t>04/12/2025</t>
  </si>
  <si>
    <t>Electronic City</t>
  </si>
  <si>
    <t>Head of Department</t>
  </si>
  <si>
    <t>Medico Legal</t>
  </si>
  <si>
    <t>Head Of Department</t>
  </si>
  <si>
    <t>Consultant</t>
  </si>
  <si>
    <t>Medical Director</t>
  </si>
  <si>
    <t>Head of the Department</t>
  </si>
  <si>
    <t>Senior Consultant</t>
  </si>
  <si>
    <t>Senior Consultant &amp; Academic Director</t>
  </si>
  <si>
    <t xml:space="preserve">HOD </t>
  </si>
  <si>
    <t>Director</t>
  </si>
  <si>
    <t>Junior Consultant</t>
  </si>
  <si>
    <t>Associate Consultant</t>
  </si>
  <si>
    <t>Senior consultant</t>
  </si>
  <si>
    <t>Associate consultant</t>
  </si>
  <si>
    <t xml:space="preserve">Consultant </t>
  </si>
  <si>
    <t xml:space="preserve">Junior Consultant </t>
  </si>
  <si>
    <t>Lead Consultant</t>
  </si>
  <si>
    <t>Visiting Consultant</t>
  </si>
  <si>
    <t>Emergency</t>
  </si>
  <si>
    <t>ICU- Intensivist</t>
  </si>
  <si>
    <t>Medical Services</t>
  </si>
  <si>
    <t>Radiology</t>
  </si>
  <si>
    <t>Internal Medicine</t>
  </si>
  <si>
    <t>Pathology</t>
  </si>
  <si>
    <t>Fetal Medicine</t>
  </si>
  <si>
    <t>General Surgery</t>
  </si>
  <si>
    <t>Dermatology</t>
  </si>
  <si>
    <t>ENT</t>
  </si>
  <si>
    <t>Gastroenterology</t>
  </si>
  <si>
    <t>Nephrology</t>
  </si>
  <si>
    <t>Ophthalmology</t>
  </si>
  <si>
    <t>Surgical Gastroenterology &amp; Liver Transplant</t>
  </si>
  <si>
    <t>Orthopedics, Trauma Care and Robotic Surgery</t>
  </si>
  <si>
    <t>Dental Surgery</t>
  </si>
  <si>
    <t>Medical Gastroenterologist</t>
  </si>
  <si>
    <t>Pulmonlogy</t>
  </si>
  <si>
    <t>Neurosurgery</t>
  </si>
  <si>
    <t>Neurology</t>
  </si>
  <si>
    <t>Cardiology</t>
  </si>
  <si>
    <t>Surgical Gastroenterology</t>
  </si>
  <si>
    <t>Emergency Medicine</t>
  </si>
  <si>
    <t>Endocrinology</t>
  </si>
  <si>
    <t>CTVS</t>
  </si>
  <si>
    <t>Gynaecology</t>
  </si>
  <si>
    <t>Medical Oncology</t>
  </si>
  <si>
    <t>OBG</t>
  </si>
  <si>
    <t>Urology</t>
  </si>
  <si>
    <t>Cardiac Anaesthetist</t>
  </si>
  <si>
    <t>Neurosciences</t>
  </si>
  <si>
    <t>Neonatology</t>
  </si>
  <si>
    <t>NICU</t>
  </si>
  <si>
    <t>Consultant- Infectious Diseases Specialist and Infection Control Officer</t>
  </si>
  <si>
    <t>Orthopaedics</t>
  </si>
  <si>
    <t>PICU</t>
  </si>
  <si>
    <t>Family Medicine</t>
  </si>
  <si>
    <t>Paediatrics</t>
  </si>
  <si>
    <t>Plastic &amp; Cosmetic Surgery</t>
  </si>
  <si>
    <t>Obstetrics &amp; Gynaecology</t>
  </si>
  <si>
    <t>Plastic and Reconstructive Surgery</t>
  </si>
  <si>
    <t>Neonatologist &amp; Pediatrician</t>
  </si>
  <si>
    <t>Biochemistry</t>
  </si>
  <si>
    <t xml:space="preserve">Orthopedics  </t>
  </si>
  <si>
    <t>Radiation Oncology</t>
  </si>
  <si>
    <t>GI Surgery, HPB &amp; Liver Transplantation</t>
  </si>
  <si>
    <t>Orthopedics</t>
  </si>
  <si>
    <t>Interventional Radiology</t>
  </si>
  <si>
    <t>Paediatrics and Paediatric Intensive Care</t>
  </si>
  <si>
    <t>Interventional Cardiology</t>
  </si>
  <si>
    <t>Axis bank</t>
  </si>
  <si>
    <t>Canara Bank</t>
  </si>
  <si>
    <t>HDFC Bank</t>
  </si>
  <si>
    <t>ICICI Bank</t>
  </si>
  <si>
    <t>Axis Bank</t>
  </si>
  <si>
    <t>State Bank Of India</t>
  </si>
  <si>
    <t>City Union Bank</t>
  </si>
  <si>
    <t>IDFC First</t>
  </si>
  <si>
    <t xml:space="preserve">Axis Bank	</t>
  </si>
  <si>
    <t>State Bank of India</t>
  </si>
  <si>
    <t>Kotak Mahindra bank</t>
  </si>
  <si>
    <t>IDBI Bank</t>
  </si>
  <si>
    <t>Punjab National Bank</t>
  </si>
  <si>
    <t>HDFC</t>
  </si>
  <si>
    <t>Bank of India</t>
  </si>
  <si>
    <t>HSBC Bank</t>
  </si>
  <si>
    <t>Bank of Baroda</t>
  </si>
  <si>
    <t>Indian Bank</t>
  </si>
  <si>
    <t>227010100124416</t>
  </si>
  <si>
    <t>2890101001958</t>
  </si>
  <si>
    <t>59119880863030</t>
  </si>
  <si>
    <t>015901005250</t>
  </si>
  <si>
    <t>914010031075768</t>
  </si>
  <si>
    <t>227010100136419</t>
  </si>
  <si>
    <t>50100052399727</t>
  </si>
  <si>
    <t>05141050042843</t>
  </si>
  <si>
    <t>500101012562173</t>
  </si>
  <si>
    <t>50100002631282</t>
  </si>
  <si>
    <t>50200073057155</t>
  </si>
  <si>
    <t>915010052777325</t>
  </si>
  <si>
    <t>919010066514916</t>
  </si>
  <si>
    <t>02141000008240</t>
  </si>
  <si>
    <t>10161386892</t>
  </si>
  <si>
    <t>110077593586</t>
  </si>
  <si>
    <t>30370319113</t>
  </si>
  <si>
    <t>916010078044756</t>
  </si>
  <si>
    <t>15321530004746</t>
  </si>
  <si>
    <t>50200019168312</t>
  </si>
  <si>
    <t>20047588511</t>
  </si>
  <si>
    <t>50100521939669</t>
  </si>
  <si>
    <t>130701506847</t>
  </si>
  <si>
    <t>916010028027992</t>
  </si>
  <si>
    <t>20144544437</t>
  </si>
  <si>
    <t>910010002147591</t>
  </si>
  <si>
    <t>17441000005494</t>
  </si>
  <si>
    <t xml:space="preserve">920010012662740	</t>
  </si>
  <si>
    <t>50100040978783</t>
  </si>
  <si>
    <t>25731530002672</t>
  </si>
  <si>
    <t>918010093771615</t>
  </si>
  <si>
    <t>00000051110495512</t>
  </si>
  <si>
    <t>2885101004171</t>
  </si>
  <si>
    <t>919010003123883</t>
  </si>
  <si>
    <t>62445855541</t>
  </si>
  <si>
    <t>917010024856618</t>
  </si>
  <si>
    <t>2827101018987</t>
  </si>
  <si>
    <t>50100036682257</t>
  </si>
  <si>
    <t>03541000037487</t>
  </si>
  <si>
    <t>919010012286171</t>
  </si>
  <si>
    <t>1821101099497</t>
  </si>
  <si>
    <t>50100028143340</t>
  </si>
  <si>
    <t>50100072080240</t>
  </si>
  <si>
    <t>4250000100097273</t>
  </si>
  <si>
    <t>38769410911</t>
  </si>
  <si>
    <t>0611101033524</t>
  </si>
  <si>
    <t>235301503326</t>
  </si>
  <si>
    <t>50100081358532</t>
  </si>
  <si>
    <t>00000020069241132</t>
  </si>
  <si>
    <t>50100222191211</t>
  </si>
  <si>
    <t>50100266554662</t>
  </si>
  <si>
    <t>918010052950055</t>
  </si>
  <si>
    <t>50100511724515</t>
  </si>
  <si>
    <t>849810110012554</t>
  </si>
  <si>
    <t>50100633301886</t>
  </si>
  <si>
    <t>50100612771394</t>
  </si>
  <si>
    <t>50100358715692</t>
  </si>
  <si>
    <t>50100793085287</t>
  </si>
  <si>
    <t>133158238006</t>
  </si>
  <si>
    <t>50100444275298</t>
  </si>
  <si>
    <t>38419865324</t>
  </si>
  <si>
    <t>915010064819699</t>
  </si>
  <si>
    <t>058301535505</t>
  </si>
  <si>
    <t>50100854835652</t>
  </si>
  <si>
    <t>924010016669844</t>
  </si>
  <si>
    <t>918010038764300</t>
  </si>
  <si>
    <t>05210100022810</t>
  </si>
  <si>
    <t>38800131329</t>
  </si>
  <si>
    <t>35237051457</t>
  </si>
  <si>
    <t>50100257538900</t>
  </si>
  <si>
    <t>227010100120807</t>
  </si>
  <si>
    <t>62252776619</t>
  </si>
  <si>
    <t>015500100295584</t>
  </si>
  <si>
    <t>10042833519</t>
  </si>
  <si>
    <t>59187924566241</t>
  </si>
  <si>
    <t>50100255505321</t>
  </si>
  <si>
    <t>07640100028979</t>
  </si>
  <si>
    <t>625401537797</t>
  </si>
  <si>
    <t>12951050031206</t>
  </si>
  <si>
    <t>UTIB0000227</t>
  </si>
  <si>
    <t>CNRB0002890</t>
  </si>
  <si>
    <t>HDFC0000549</t>
  </si>
  <si>
    <t>ICIC0000159</t>
  </si>
  <si>
    <t>UTIB0000734</t>
  </si>
  <si>
    <t>HDFC0000312</t>
  </si>
  <si>
    <t>HDFC0000514</t>
  </si>
  <si>
    <t>CIUB0000568</t>
  </si>
  <si>
    <t>HDFC0002394</t>
  </si>
  <si>
    <t>HDFC0002841</t>
  </si>
  <si>
    <t>UTIB0000333</t>
  </si>
  <si>
    <t>UTIB0002043</t>
  </si>
  <si>
    <t>HDFC0000133</t>
  </si>
  <si>
    <t>HDFC0000214</t>
  </si>
  <si>
    <t>IDFB0080189</t>
  </si>
  <si>
    <t>CNRB0005911</t>
  </si>
  <si>
    <t>SBIN0016310</t>
  </si>
  <si>
    <t>UTIB0000131</t>
  </si>
  <si>
    <t>HDFC0001532</t>
  </si>
  <si>
    <t>HDFC0004183</t>
  </si>
  <si>
    <t>SBIN0007981</t>
  </si>
  <si>
    <t>HDFC0006277</t>
  </si>
  <si>
    <t>ICIC0001307</t>
  </si>
  <si>
    <t>UTIB0001513</t>
  </si>
  <si>
    <t>SBIN0004815</t>
  </si>
  <si>
    <t>HDFC0001744</t>
  </si>
  <si>
    <t>UTIB0001770</t>
  </si>
  <si>
    <t>HDFC0000446</t>
  </si>
  <si>
    <t>HDFC0002573</t>
  </si>
  <si>
    <t>SBIN0070242</t>
  </si>
  <si>
    <t>CNRB0002885</t>
  </si>
  <si>
    <t>SBIN0012924</t>
  </si>
  <si>
    <t xml:space="preserve">KKBK0008066 </t>
  </si>
  <si>
    <t>UTIB0001185</t>
  </si>
  <si>
    <t>CNRB0010754</t>
  </si>
  <si>
    <t>HDFC0001752</t>
  </si>
  <si>
    <t>IDFB0080151</t>
  </si>
  <si>
    <t>HDFC0000354</t>
  </si>
  <si>
    <t>CNRB0001821</t>
  </si>
  <si>
    <t>HDFC0000351</t>
  </si>
  <si>
    <t>HDFC0001268</t>
  </si>
  <si>
    <t>UTIB0000677</t>
  </si>
  <si>
    <t>SBIN0061254</t>
  </si>
  <si>
    <t>PUNB0425000</t>
  </si>
  <si>
    <t>SBIN0070802</t>
  </si>
  <si>
    <t>CNRB0001819</t>
  </si>
  <si>
    <t>ICIC0002353</t>
  </si>
  <si>
    <t>HDFC0003636</t>
  </si>
  <si>
    <t>SBIN0004426</t>
  </si>
  <si>
    <t>HDFC0000542</t>
  </si>
  <si>
    <t>HDFC0002850</t>
  </si>
  <si>
    <t>UTIB0000792</t>
  </si>
  <si>
    <t>HDFC0001206</t>
  </si>
  <si>
    <t>BKID0008498</t>
  </si>
  <si>
    <t>HDFC0006921</t>
  </si>
  <si>
    <t>HDFC0001594</t>
  </si>
  <si>
    <t>HDFC0009008</t>
  </si>
  <si>
    <t>HDFC0001300</t>
  </si>
  <si>
    <t>HSBC0560003</t>
  </si>
  <si>
    <t>HDFC001498</t>
  </si>
  <si>
    <t>UTIB0003473</t>
  </si>
  <si>
    <t>ICIC0000583</t>
  </si>
  <si>
    <t>HDFC0011955</t>
  </si>
  <si>
    <t>SBIN0012661</t>
  </si>
  <si>
    <t>UTIB0000300</t>
  </si>
  <si>
    <t>UTIB0000814</t>
  </si>
  <si>
    <t>BARB0BANASH</t>
  </si>
  <si>
    <t>SBIN0003747</t>
  </si>
  <si>
    <t>HDFC0004178</t>
  </si>
  <si>
    <t>SBIN0061679</t>
  </si>
  <si>
    <t>DLXB0000155</t>
  </si>
  <si>
    <t>SBIN0009044</t>
  </si>
  <si>
    <t>HDFC0005627</t>
  </si>
  <si>
    <t>SBIN0070952</t>
  </si>
  <si>
    <t>SBIN0020363</t>
  </si>
  <si>
    <t>SBIN0040136</t>
  </si>
  <si>
    <t>HDFC0009207</t>
  </si>
  <si>
    <t>BARB0JAYANA</t>
  </si>
  <si>
    <t>ICIC0006254</t>
  </si>
  <si>
    <t>HDFC0001245</t>
  </si>
  <si>
    <t>IDIB000N066</t>
  </si>
  <si>
    <t>AJJPR6894F</t>
  </si>
  <si>
    <t>ATLPV8634P</t>
  </si>
  <si>
    <t>AWAPM7037R</t>
  </si>
  <si>
    <t>ACLPH6740H</t>
  </si>
  <si>
    <t>AIZPN7643R</t>
  </si>
  <si>
    <t>AYDPK1737B</t>
  </si>
  <si>
    <t>AJJPA3876E</t>
  </si>
  <si>
    <t>ABGPH8805H</t>
  </si>
  <si>
    <t>ACIPC8841M</t>
  </si>
  <si>
    <t>BAHBR4699N</t>
  </si>
  <si>
    <t>AEUFS5220A</t>
  </si>
  <si>
    <t>DAEPS1081Q</t>
  </si>
  <si>
    <t>EACPS4205M</t>
  </si>
  <si>
    <t>JFDPS1214D</t>
  </si>
  <si>
    <t>BDIPK5426J</t>
  </si>
  <si>
    <t>DKDPM7630A</t>
  </si>
  <si>
    <t>AONPT4225R</t>
  </si>
  <si>
    <t>BUMPK3676H</t>
  </si>
  <si>
    <t>AJBPV9137B</t>
  </si>
  <si>
    <t>ALRPB2719F</t>
  </si>
  <si>
    <t>AETPJ8247B</t>
  </si>
  <si>
    <t>AWCPD9605N</t>
  </si>
  <si>
    <t>BQZPP2550G</t>
  </si>
  <si>
    <t>BBOPC0244E</t>
  </si>
  <si>
    <t>ANTPV8024F</t>
  </si>
  <si>
    <t>CGYPD3465N</t>
  </si>
  <si>
    <t>AKXPG7413Q</t>
  </si>
  <si>
    <t>APIPM2263E</t>
  </si>
  <si>
    <t>AYNPC0022B</t>
  </si>
  <si>
    <t>BJPPS4460M</t>
  </si>
  <si>
    <t>AMPPJ8659P</t>
  </si>
  <si>
    <t>AGXPT9358B</t>
  </si>
  <si>
    <t>ANOPH5910P</t>
  </si>
  <si>
    <t>ARSPN5828N</t>
  </si>
  <si>
    <t>JLMPS5178H</t>
  </si>
  <si>
    <t>AHEPS5258B</t>
  </si>
  <si>
    <t>CRHPS5241K</t>
  </si>
  <si>
    <t>CHPPP4302N</t>
  </si>
  <si>
    <t>AJXPN0302L</t>
  </si>
  <si>
    <t>BFFPR5298A</t>
  </si>
  <si>
    <t>AEXPL9230L</t>
  </si>
  <si>
    <t>DCZPS5693K</t>
  </si>
  <si>
    <t>ADRPV0684R</t>
  </si>
  <si>
    <t>BUWPST345M</t>
  </si>
  <si>
    <t>BSJPM3074Q</t>
  </si>
  <si>
    <t>AHLPJ2758E</t>
  </si>
  <si>
    <t>CZAPS1144N</t>
  </si>
  <si>
    <t>DDSPA3570D</t>
  </si>
  <si>
    <t>AAGPR0437G</t>
  </si>
  <si>
    <t>DMLPN2005N</t>
  </si>
  <si>
    <t>G7VPS5669K</t>
  </si>
  <si>
    <t>BWDPR2642P</t>
  </si>
  <si>
    <t>BAJPD7016B</t>
  </si>
  <si>
    <t>BLPPM0833A</t>
  </si>
  <si>
    <t>CAHPA9351F</t>
  </si>
  <si>
    <t>AGGPN7060H</t>
  </si>
  <si>
    <t>CATPP9209H</t>
  </si>
  <si>
    <t>APQPA9189M</t>
  </si>
  <si>
    <t>DDRPK2132Q</t>
  </si>
  <si>
    <t>ANIPC7388L</t>
  </si>
  <si>
    <t>DPWPK4912M</t>
  </si>
  <si>
    <t>ATSPT5267B</t>
  </si>
  <si>
    <t>CKQPC6946P</t>
  </si>
  <si>
    <t>BNRPG1614F</t>
  </si>
  <si>
    <t>AKJPV2815R</t>
  </si>
  <si>
    <t>ATXPJ0092R</t>
  </si>
  <si>
    <t>BIPPV4116G</t>
  </si>
  <si>
    <t>AQWPP9387P</t>
  </si>
  <si>
    <t>CUTPS8255A</t>
  </si>
  <si>
    <t>AITPJ5548F</t>
  </si>
  <si>
    <t>ACRPU5043N</t>
  </si>
  <si>
    <t>CUVPM2645A</t>
  </si>
  <si>
    <t>BZZPM4320G</t>
  </si>
  <si>
    <t>BSPPS5015M</t>
  </si>
  <si>
    <t>CPPPM7318H</t>
  </si>
  <si>
    <t>BXNPRO744P</t>
  </si>
  <si>
    <t>CVAPK6294H</t>
  </si>
  <si>
    <t>AKRPH2117C</t>
  </si>
  <si>
    <t>APPPD0099E</t>
  </si>
  <si>
    <t>DYBPB5180G</t>
  </si>
  <si>
    <t>BJWPB1501M</t>
  </si>
  <si>
    <t>AHVPC9315Q</t>
  </si>
  <si>
    <t>AOMPH5960A</t>
  </si>
  <si>
    <t>BIQPB6069K</t>
  </si>
  <si>
    <t>GOIPK4478E</t>
  </si>
  <si>
    <t>AUMPT2147F</t>
  </si>
  <si>
    <t>BQBPG5319Q</t>
  </si>
  <si>
    <t>AYKPS7432G</t>
  </si>
  <si>
    <t>AUPPC4093C</t>
  </si>
  <si>
    <t>ANPPK2223H</t>
  </si>
  <si>
    <t>HXZPS4296H</t>
  </si>
  <si>
    <t>shashikims1988@gmail.com</t>
  </si>
  <si>
    <t>amolje@gmail.com</t>
  </si>
  <si>
    <t>shubhahegde.bellimane@gmail.com</t>
  </si>
  <si>
    <t>kakolilahkar12@yahoo.in</t>
  </si>
  <si>
    <t>geethakishore@gmail.com</t>
  </si>
  <si>
    <t>drrashmi_verma@yahoo.co.in</t>
  </si>
  <si>
    <t>drrrke12@gmail.com</t>
  </si>
  <si>
    <t>docharsha@gmail.com</t>
  </si>
  <si>
    <t>shadynrs2004@gmail.com</t>
  </si>
  <si>
    <t>kaushik.ys@gmail.com</t>
  </si>
  <si>
    <t>Banglore</t>
  </si>
  <si>
    <t>chandanachandregowda@gmail.com</t>
  </si>
  <si>
    <t>sinha9683@gmail.com</t>
  </si>
  <si>
    <t>kcnaeem786@gmail.com</t>
  </si>
  <si>
    <t>vihari.vijju@gmail.com</t>
  </si>
  <si>
    <t>anupamjaiswal99@gmail.com</t>
  </si>
  <si>
    <t>manishaelsa@gmail.com</t>
  </si>
  <si>
    <t>reddy1963@gmail.com</t>
  </si>
  <si>
    <t>vinayappaiah12@gmail.com</t>
  </si>
  <si>
    <t xml:space="preserve">tr.muralidhar@yahoo.co.in </t>
  </si>
  <si>
    <t>madhuhr2007@yahoo.com</t>
  </si>
  <si>
    <t>drnagesh.ecb@kauveryhospital.com</t>
  </si>
  <si>
    <t xml:space="preserve">docsudhi@gmail.com </t>
  </si>
  <si>
    <t xml:space="preserve">dphegde@hotmail.com </t>
  </si>
  <si>
    <t>chitra.ganesh@yahoo.co.in</t>
  </si>
  <si>
    <t>ravikiransj@gmail.com</t>
  </si>
  <si>
    <t>drsureshharimani@yahoo.in</t>
  </si>
  <si>
    <t>sabarishp20@gmail.com</t>
  </si>
  <si>
    <t>drrakeshm@gmail.com</t>
  </si>
  <si>
    <t>kishorechennu@yahoo.com</t>
  </si>
  <si>
    <t>madhu6792@gmail.com</t>
  </si>
  <si>
    <t>tejaswinihb93@gmail.com</t>
  </si>
  <si>
    <t>swatikulks@gmail.com</t>
  </si>
  <si>
    <t>vasudha.paul.84@gmail.com</t>
  </si>
  <si>
    <t>docsreenu@gmail.com</t>
  </si>
  <si>
    <t>jagadeesh.chamundaiah@gmail.com</t>
  </si>
  <si>
    <t>drdivya_d@yahoo.com</t>
  </si>
  <si>
    <t>amihet208@gmail.com</t>
  </si>
  <si>
    <t>vinmmcri@gmail.com</t>
  </si>
  <si>
    <t>sreelathavelegonda@gmail.com</t>
  </si>
  <si>
    <t>sachinmedico@gmail.com</t>
  </si>
  <si>
    <t>ganeshneuros@gmail.com</t>
  </si>
  <si>
    <t>hgmanjunathreddy@hotmail.com</t>
  </si>
  <si>
    <t>drshenoyganesh@gmail.com</t>
  </si>
  <si>
    <t>mtbackk@gmail.com</t>
  </si>
  <si>
    <t>ranganathadns@gmail.com</t>
  </si>
  <si>
    <t>drsatishbellave@gmail.com</t>
  </si>
  <si>
    <t>drsrinath1@gmail.com</t>
  </si>
  <si>
    <t>sayajiraosargar@redittmail.cm</t>
  </si>
  <si>
    <t>dr.madhu.ctvs@gmail.com</t>
  </si>
  <si>
    <t>roopaleo@gmail.com</t>
  </si>
  <si>
    <t>sugunakashinath@gmail.com</t>
  </si>
  <si>
    <t>drmanju119@gmail.com</t>
  </si>
  <si>
    <t>jagadish.urologist@gmail.com</t>
  </si>
  <si>
    <t>Dr.aitha86@gmail.com</t>
  </si>
  <si>
    <t>srilakshmiannam44@gmail.com</t>
  </si>
  <si>
    <t>dr.samuelarego@gmail.com</t>
  </si>
  <si>
    <t>deepashree241@gmail.com</t>
  </si>
  <si>
    <t>drmamatha2015@gmail.com</t>
  </si>
  <si>
    <t>akshukusu@gmail.com</t>
  </si>
  <si>
    <t>dr.malvika24@gmail.com</t>
  </si>
  <si>
    <t>drchaitrahg@gmail.com</t>
  </si>
  <si>
    <t>aswathk300@gmail.com</t>
  </si>
  <si>
    <t>drkranthimohan@gmail.com</t>
  </si>
  <si>
    <t>mayurirao0016@gmail.com</t>
  </si>
  <si>
    <t>mulmmina.salim@gmail.com</t>
  </si>
  <si>
    <t>E-mail ID</t>
  </si>
  <si>
    <t>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</si>
</sst>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C09]dd\-mmm\-yy;@"/>
    <numFmt numFmtId="165" formatCode="_ * #,##0_ ;_ * \-#,##0_ ;_ * &quot;-&quot;??_ ;_ @_ "/>
    <numFmt numFmtId="166" formatCode="_(* #,##0.00_);_(* \(#,##0.00\);_(* &quot;-&quot;??_);_(@_)"/>
    <numFmt numFmtId="167" formatCode="_(* #,##0_);_(* \(#,##0\);_(* &quot;-&quot;??_);_(@_)"/>
    <numFmt numFmtId="168" formatCode="dd\-mm\-yyyy"/>
    <numFmt numFmtId="169" formatCode="[$-14009]dd\-mm\-yyyy;@"/>
    <numFmt numFmtId="170" formatCode="dd\-mm\-yyyy;@"/>
    <numFmt numFmtId="171" formatCode="00000"/>
  </numFmts>
  <fonts count="13" x14ac:knownFonts="1">
    <font>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
      <sz val="9"/>
      <name val="Times New Roman"/>
      <family val="1"/>
    </font>
    <font>
      <sz val="9"/>
      <name val="Calibri"/>
      <family val="2"/>
    </font>
    <font>
      <b/>
      <sz val="9"/>
      <name val="Times New Roman"/>
      <family val="1"/>
    </font>
    <font>
      <sz val="9"/>
      <name val="Calibri"/>
      <family val="2"/>
      <scheme val="minor"/>
    </font>
    <font>
      <sz val="9"/>
      <name val="Times"/>
      <family val="1"/>
    </font>
    <font>
      <sz val="9"/>
      <color theme="1"/>
      <name val="Times New Roman"/>
      <family val="1"/>
    </font>
    <font>
      <sz val="9"/>
      <color theme="1"/>
      <name val="Times New Roman"/>
      <family val="1"/>
    </font>
    <font>
      <u/>
      <sz val="11"/>
      <color theme="10"/>
      <name val="Calibri"/>
      <family val="2"/>
      <scheme val="minor"/>
    </font>
    <font>
      <sz val="7"/>
      <color rgb="FF222222"/>
      <name val="Arial"/>
      <family val="2"/>
    </font>
  </fonts>
  <fills count="7">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0"/>
        <bgColor rgb="FF000000"/>
      </patternFill>
    </fill>
    <fill>
      <patternFill patternType="solid">
        <fgColor rgb="FFFFFFFF"/>
        <bgColor indexed="64"/>
      </patternFill>
    </fill>
    <fill>
      <patternFill patternType="solid">
        <fgColor theme="4" tint="0.79998168889431442"/>
        <bgColor theme="4" tint="0.79998168889431442"/>
      </patternFill>
    </fill>
  </fills>
  <borders count="10">
    <border>
      <left/>
      <right/>
      <top/>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thin">
        <color theme="4" tint="0.79998168889431442"/>
      </left>
      <right style="thin">
        <color theme="4" tint="0.79998168889431442"/>
      </right>
      <top/>
      <bottom/>
      <diagonal/>
    </border>
    <border>
      <left style="thin">
        <color indexed="64"/>
      </left>
      <right style="thin">
        <color indexed="64"/>
      </right>
      <top style="thin">
        <color indexed="64"/>
      </top>
      <bottom style="thin">
        <color indexed="64"/>
      </bottom>
      <diagonal/>
    </border>
    <border>
      <left/>
      <right style="thin">
        <color theme="4" tint="0.79998168889431442"/>
      </right>
      <top style="thin">
        <color theme="4" tint="0.79998168889431442"/>
      </top>
      <bottom style="thin">
        <color theme="4" tint="0.79998168889431442"/>
      </bottom>
      <diagonal/>
    </border>
    <border>
      <left style="thin">
        <color theme="4" tint="0.79998168889431442"/>
      </left>
      <right style="thin">
        <color theme="4" tint="0.79998168889431442"/>
      </right>
      <top style="thin">
        <color theme="4" tint="0.79998168889431442"/>
      </top>
      <bottom/>
      <diagonal/>
    </border>
    <border>
      <left style="thin">
        <color theme="4" tint="0.79998168889431442"/>
      </left>
      <right style="thin">
        <color theme="4" tint="0.79998168889431442"/>
      </right>
      <top/>
      <bottom style="thin">
        <color theme="4" tint="0.79998168889431442"/>
      </bottom>
      <diagonal/>
    </border>
    <border>
      <left style="thin">
        <color rgb="FF000000"/>
      </left>
      <right style="thin">
        <color rgb="FF000000"/>
      </right>
      <top style="thin">
        <color rgb="FF000000"/>
      </top>
      <bottom style="thin">
        <color rgb="FF000000"/>
      </bottom>
      <diagonal/>
    </border>
    <border>
      <left/>
      <right style="thin">
        <color theme="4" tint="0.79998168889431442"/>
      </right>
      <top style="thin">
        <color theme="4" tint="0.79998168889431442"/>
      </top>
      <bottom/>
      <diagonal/>
    </border>
    <border>
      <left/>
      <right style="thin">
        <color theme="4" tint="0.79998168889431442"/>
      </right>
      <top/>
      <bottom style="thin">
        <color theme="4" tint="0.79998168889431442"/>
      </bottom>
      <diagonal/>
    </border>
  </borders>
  <cellStyleXfs count="6">
    <xf numFmtId="0" fontId="0" fillId="0" borderId="0"/>
    <xf numFmtId="166"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1" fillId="0" borderId="0" applyNumberFormat="0" applyFill="0" applyBorder="0" applyAlignment="0" applyProtection="0"/>
  </cellStyleXfs>
  <cellXfs count="64">
    <xf numFmtId="0" fontId="0" fillId="0" borderId="0" xfId="0"/>
    <xf numFmtId="0" fontId="3" fillId="3" borderId="1" xfId="2" applyFont="1" applyFill="1" applyBorder="1" applyAlignment="1">
      <alignment horizontal="center" vertical="center"/>
    </xf>
    <xf numFmtId="0" fontId="3" fillId="3" borderId="1" xfId="2" applyFont="1" applyFill="1" applyBorder="1" applyAlignment="1">
      <alignment horizontal="center"/>
    </xf>
    <xf numFmtId="164" fontId="3" fillId="3" borderId="1" xfId="2" applyNumberFormat="1" applyFont="1" applyFill="1" applyBorder="1" applyAlignment="1">
      <alignment horizontal="center"/>
    </xf>
    <xf numFmtId="165" fontId="3" fillId="3" borderId="1" xfId="3" applyNumberFormat="1" applyFont="1" applyFill="1" applyBorder="1" applyAlignment="1">
      <alignment horizontal="center"/>
    </xf>
    <xf numFmtId="0" fontId="2" fillId="2" borderId="2" xfId="2" applyFont="1" applyFill="1" applyBorder="1" applyAlignment="1">
      <alignment horizontal="center" vertical="center"/>
    </xf>
    <xf numFmtId="0" fontId="4" fillId="3" borderId="3" xfId="0" applyFont="1" applyFill="1" applyBorder="1" applyAlignment="1">
      <alignment horizontal="left"/>
    </xf>
    <xf numFmtId="0" fontId="4" fillId="3" borderId="3" xfId="0" applyFont="1" applyFill="1" applyBorder="1" applyAlignment="1">
      <alignment horizontal="left" vertical="top"/>
    </xf>
    <xf numFmtId="1" fontId="4" fillId="3" borderId="3" xfId="0" applyNumberFormat="1" applyFont="1" applyFill="1" applyBorder="1" applyAlignment="1">
      <alignment horizontal="left" vertical="top"/>
    </xf>
    <xf numFmtId="168" fontId="4" fillId="3" borderId="3" xfId="2" applyNumberFormat="1" applyFont="1" applyFill="1" applyBorder="1" applyAlignment="1">
      <alignment horizontal="center"/>
    </xf>
    <xf numFmtId="0" fontId="4" fillId="3" borderId="3" xfId="2" applyFont="1" applyFill="1" applyBorder="1" applyAlignment="1">
      <alignment horizontal="left"/>
    </xf>
    <xf numFmtId="0" fontId="4" fillId="3" borderId="3" xfId="2" quotePrefix="1" applyFont="1" applyFill="1" applyBorder="1" applyAlignment="1">
      <alignment horizontal="left"/>
    </xf>
    <xf numFmtId="171" fontId="4" fillId="3" borderId="3" xfId="2" applyNumberFormat="1" applyFont="1" applyFill="1" applyBorder="1" applyAlignment="1">
      <alignment horizontal="left"/>
    </xf>
    <xf numFmtId="0" fontId="4" fillId="3" borderId="3" xfId="0" applyFont="1" applyFill="1" applyBorder="1" applyAlignment="1">
      <alignment horizontal="right"/>
    </xf>
    <xf numFmtId="167" fontId="4" fillId="3" borderId="3" xfId="3" applyNumberFormat="1" applyFont="1" applyFill="1" applyBorder="1" applyAlignment="1">
      <alignment horizontal="right" vertical="center"/>
    </xf>
    <xf numFmtId="1" fontId="4" fillId="3" borderId="3" xfId="0" applyNumberFormat="1" applyFont="1" applyFill="1" applyBorder="1" applyAlignment="1">
      <alignment horizontal="left"/>
    </xf>
    <xf numFmtId="1" fontId="6" fillId="3" borderId="3" xfId="0" applyNumberFormat="1" applyFont="1" applyFill="1" applyBorder="1" applyAlignment="1">
      <alignment horizontal="left" vertical="top"/>
    </xf>
    <xf numFmtId="169" fontId="4" fillId="3" borderId="3" xfId="0" applyNumberFormat="1" applyFont="1" applyFill="1" applyBorder="1" applyAlignment="1">
      <alignment horizontal="center"/>
    </xf>
    <xf numFmtId="170" fontId="4" fillId="3" borderId="3" xfId="0" applyNumberFormat="1" applyFont="1" applyFill="1" applyBorder="1" applyAlignment="1">
      <alignment horizontal="center"/>
    </xf>
    <xf numFmtId="0" fontId="4" fillId="3" borderId="3" xfId="0" applyFont="1" applyFill="1" applyBorder="1"/>
    <xf numFmtId="1" fontId="4" fillId="3" borderId="3" xfId="0" quotePrefix="1" applyNumberFormat="1" applyFont="1" applyFill="1" applyBorder="1" applyAlignment="1">
      <alignment horizontal="left"/>
    </xf>
    <xf numFmtId="168" fontId="6" fillId="3" borderId="3" xfId="2" applyNumberFormat="1" applyFont="1" applyFill="1" applyBorder="1" applyAlignment="1">
      <alignment horizontal="center"/>
    </xf>
    <xf numFmtId="0" fontId="6" fillId="3" borderId="3" xfId="2" applyFont="1" applyFill="1" applyBorder="1" applyAlignment="1">
      <alignment horizontal="left"/>
    </xf>
    <xf numFmtId="171" fontId="6" fillId="3" borderId="3" xfId="2" applyNumberFormat="1" applyFont="1" applyFill="1" applyBorder="1" applyAlignment="1">
      <alignment horizontal="left"/>
    </xf>
    <xf numFmtId="0" fontId="6" fillId="3" borderId="3" xfId="2" quotePrefix="1" applyFont="1" applyFill="1" applyBorder="1" applyAlignment="1">
      <alignment horizontal="left"/>
    </xf>
    <xf numFmtId="0" fontId="6" fillId="3" borderId="3" xfId="0" applyFont="1" applyFill="1" applyBorder="1" applyAlignment="1">
      <alignment horizontal="right"/>
    </xf>
    <xf numFmtId="167" fontId="6" fillId="3" borderId="3" xfId="3" applyNumberFormat="1" applyFont="1" applyFill="1" applyBorder="1" applyAlignment="1">
      <alignment horizontal="right" vertical="center"/>
    </xf>
    <xf numFmtId="0" fontId="4" fillId="3" borderId="3" xfId="0" quotePrefix="1" applyFont="1" applyFill="1" applyBorder="1" applyAlignment="1">
      <alignment horizontal="left" vertical="top"/>
    </xf>
    <xf numFmtId="0" fontId="5" fillId="3" borderId="3" xfId="0" applyFont="1" applyFill="1" applyBorder="1" applyAlignment="1">
      <alignment horizontal="left" vertical="top"/>
    </xf>
    <xf numFmtId="0" fontId="5" fillId="3" borderId="3" xfId="0" quotePrefix="1" applyFont="1" applyFill="1" applyBorder="1" applyAlignment="1">
      <alignment horizontal="left" vertical="top"/>
    </xf>
    <xf numFmtId="0" fontId="7" fillId="3" borderId="3" xfId="0" quotePrefix="1" applyFont="1" applyFill="1" applyBorder="1"/>
    <xf numFmtId="0" fontId="8" fillId="3" borderId="3" xfId="0" quotePrefix="1" applyFont="1" applyFill="1" applyBorder="1"/>
    <xf numFmtId="0" fontId="8" fillId="3" borderId="3" xfId="0" quotePrefix="1" applyFont="1" applyFill="1" applyBorder="1" applyAlignment="1">
      <alignment horizontal="left"/>
    </xf>
    <xf numFmtId="0" fontId="3" fillId="3" borderId="3" xfId="0" applyFont="1" applyFill="1" applyBorder="1" applyAlignment="1">
      <alignment horizontal="left" vertical="top"/>
    </xf>
    <xf numFmtId="0" fontId="2" fillId="2" borderId="5" xfId="2" applyFont="1" applyFill="1" applyBorder="1" applyAlignment="1">
      <alignment horizontal="center" vertical="center"/>
    </xf>
    <xf numFmtId="164" fontId="2" fillId="2" borderId="5" xfId="2" applyNumberFormat="1" applyFont="1" applyFill="1" applyBorder="1" applyAlignment="1">
      <alignment horizontal="center" vertical="center"/>
    </xf>
    <xf numFmtId="165" fontId="2" fillId="2" borderId="5" xfId="3" applyNumberFormat="1" applyFont="1" applyFill="1" applyBorder="1" applyAlignment="1">
      <alignment horizontal="center" vertical="center"/>
    </xf>
    <xf numFmtId="165" fontId="2" fillId="2" borderId="5" xfId="3" applyNumberFormat="1" applyFont="1" applyFill="1" applyBorder="1" applyAlignment="1">
      <alignment horizontal="center" vertical="center" wrapText="1"/>
    </xf>
    <xf numFmtId="0" fontId="3" fillId="3" borderId="6" xfId="2" applyFont="1" applyFill="1" applyBorder="1" applyAlignment="1">
      <alignment horizontal="center"/>
    </xf>
    <xf numFmtId="164" fontId="3" fillId="3" borderId="6" xfId="2" applyNumberFormat="1" applyFont="1" applyFill="1" applyBorder="1" applyAlignment="1">
      <alignment horizontal="center"/>
    </xf>
    <xf numFmtId="165" fontId="3" fillId="3" borderId="6" xfId="3" applyNumberFormat="1" applyFont="1" applyFill="1" applyBorder="1" applyAlignment="1">
      <alignment horizontal="center"/>
    </xf>
    <xf numFmtId="17" fontId="3" fillId="3" borderId="3" xfId="2" applyNumberFormat="1" applyFont="1" applyFill="1" applyBorder="1" applyAlignment="1">
      <alignment horizontal="center"/>
    </xf>
    <xf numFmtId="0" fontId="3" fillId="3" borderId="3" xfId="2" applyFont="1" applyFill="1" applyBorder="1" applyAlignment="1">
      <alignment horizontal="center"/>
    </xf>
    <xf numFmtId="0" fontId="3" fillId="3" borderId="3" xfId="0" applyFont="1" applyFill="1" applyBorder="1" applyAlignment="1">
      <alignment horizontal="center" vertical="center"/>
    </xf>
    <xf numFmtId="167" fontId="3" fillId="3" borderId="3" xfId="1" applyNumberFormat="1" applyFont="1" applyFill="1" applyBorder="1" applyAlignment="1">
      <alignment horizontal="center"/>
    </xf>
    <xf numFmtId="0" fontId="3" fillId="3" borderId="3" xfId="2" quotePrefix="1" applyFont="1" applyFill="1" applyBorder="1" applyAlignment="1">
      <alignment horizontal="center"/>
    </xf>
    <xf numFmtId="165" fontId="3" fillId="4" borderId="3" xfId="3" applyNumberFormat="1" applyFont="1" applyFill="1" applyBorder="1" applyAlignment="1">
      <alignment horizontal="center"/>
    </xf>
    <xf numFmtId="43" fontId="3" fillId="4" borderId="3" xfId="3" applyFont="1" applyFill="1" applyBorder="1" applyAlignment="1">
      <alignment horizontal="center"/>
    </xf>
    <xf numFmtId="165" fontId="3" fillId="3" borderId="3" xfId="3" applyNumberFormat="1" applyFont="1" applyFill="1" applyBorder="1" applyAlignment="1">
      <alignment horizontal="center"/>
    </xf>
    <xf numFmtId="1" fontId="9" fillId="0" borderId="7" xfId="0" applyNumberFormat="1" applyFont="1" applyBorder="1" applyAlignment="1">
      <alignment horizontal="center" vertical="top"/>
    </xf>
    <xf numFmtId="0" fontId="4" fillId="0" borderId="3" xfId="0" applyFont="1" applyBorder="1" applyAlignment="1">
      <alignment horizontal="center" vertical="top"/>
    </xf>
    <xf numFmtId="14" fontId="5" fillId="3" borderId="3" xfId="0" applyNumberFormat="1" applyFont="1" applyFill="1" applyBorder="1" applyAlignment="1">
      <alignment horizontal="center" vertical="top"/>
    </xf>
    <xf numFmtId="0" fontId="5" fillId="3" borderId="3" xfId="0" applyFont="1" applyFill="1" applyBorder="1" applyAlignment="1">
      <alignment horizontal="center" vertical="top"/>
    </xf>
    <xf numFmtId="14" fontId="5" fillId="3" borderId="3" xfId="0" applyNumberFormat="1" applyFont="1" applyFill="1" applyBorder="1" applyAlignment="1">
      <alignment horizontal="center"/>
    </xf>
    <xf numFmtId="14" fontId="7" fillId="3" borderId="3" xfId="0" applyNumberFormat="1" applyFont="1" applyFill="1" applyBorder="1" applyAlignment="1">
      <alignment horizontal="center"/>
    </xf>
    <xf numFmtId="1" fontId="10" fillId="0" borderId="3" xfId="0" applyNumberFormat="1" applyFont="1" applyBorder="1" applyAlignment="1">
      <alignment horizontal="center" vertical="center"/>
    </xf>
    <xf numFmtId="1" fontId="11" fillId="0" borderId="3" xfId="5" applyNumberFormat="1" applyBorder="1" applyAlignment="1">
      <alignment horizontal="center" vertical="center"/>
    </xf>
    <xf numFmtId="1" fontId="11" fillId="3" borderId="3" xfId="5" applyNumberFormat="1" applyFill="1" applyBorder="1" applyAlignment="1">
      <alignment horizontal="center"/>
    </xf>
    <xf numFmtId="43" fontId="11" fillId="4" borderId="3" xfId="5" applyNumberFormat="1" applyFill="1" applyBorder="1" applyAlignment="1">
      <alignment horizontal="center"/>
    </xf>
    <xf numFmtId="167" fontId="3" fillId="4" borderId="3" xfId="1" applyNumberFormat="1" applyFont="1" applyFill="1" applyBorder="1" applyAlignment="1">
      <alignment horizontal="center"/>
    </xf>
    <xf numFmtId="165" fontId="3" fillId="3" borderId="4" xfId="2" applyNumberFormat="1" applyFont="1" applyFill="1" applyBorder="1" applyAlignment="1">
      <alignment horizontal="center"/>
    </xf>
    <xf numFmtId="0" fontId="0" fillId="5" borderId="8" xfId="0" applyFill="1" applyBorder="1" applyAlignment="1">
      <alignment vertical="center" wrapText="1"/>
    </xf>
    <xf numFmtId="0" fontId="12" fillId="5" borderId="9" xfId="0" applyFont="1" applyFill="1" applyBorder="1" applyAlignment="1">
      <alignment vertical="center" wrapText="1"/>
    </xf>
    <xf numFmtId="1" fontId="11" fillId="6" borderId="3" xfId="5" applyNumberFormat="1" applyFill="1" applyBorder="1" applyAlignment="1">
      <alignment horizontal="center" vertical="center"/>
    </xf>
  </cellXfs>
  <cellStyles count="6">
    <cellStyle name="Comma" xfId="1" builtinId="3"/>
    <cellStyle name="Comma 6" xfId="3" xr:uid="{F5096001-7436-4FF1-AABB-EC0EC5EB4A47}"/>
    <cellStyle name="Hyperlink" xfId="5" builtinId="8"/>
    <cellStyle name="Normal" xfId="0" builtinId="0"/>
    <cellStyle name="Normal 4" xfId="4" xr:uid="{B26A96B4-A8D2-4C3C-B219-D9CD7EBDC3FA}"/>
    <cellStyle name="Normal 5" xfId="2" xr:uid="{7A888DE2-9431-475C-B204-3A30CD19AF4A}"/>
  </cellStyles>
  <dxfs count="44">
    <dxf>
      <font>
        <color indexed="20"/>
      </font>
      <fill>
        <patternFill>
          <bgColor indexed="45"/>
        </patternFill>
      </fill>
    </dxf>
    <dxf>
      <font>
        <b val="0"/>
        <condense val="0"/>
        <extend val="0"/>
        <color indexed="20"/>
      </font>
      <fill>
        <patternFill patternType="solid">
          <fgColor indexed="64"/>
          <bgColor indexed="45"/>
        </patternFill>
      </fill>
    </dxf>
    <dxf>
      <font>
        <b val="0"/>
        <condense val="0"/>
        <extend val="0"/>
        <color indexed="20"/>
      </font>
      <fill>
        <patternFill patternType="solid">
          <fgColor indexed="64"/>
          <bgColor indexed="45"/>
        </patternFill>
      </fill>
    </dxf>
    <dxf>
      <font>
        <b val="0"/>
        <condense val="0"/>
        <extend val="0"/>
        <color indexed="20"/>
      </font>
      <fill>
        <patternFill patternType="solid">
          <fgColor indexed="64"/>
          <bgColor indexed="45"/>
        </patternFill>
      </fill>
    </dxf>
    <dxf>
      <font>
        <b val="0"/>
        <condense val="0"/>
        <extend val="0"/>
        <color indexed="20"/>
      </font>
      <fill>
        <patternFill patternType="solid">
          <fgColor indexed="64"/>
          <bgColor indexed="45"/>
        </patternFill>
      </fill>
    </dxf>
    <dxf>
      <font>
        <color indexed="20"/>
      </font>
      <fill>
        <patternFill>
          <bgColor indexed="45"/>
        </patternFill>
      </fill>
    </dxf>
    <dxf>
      <font>
        <color indexed="20"/>
      </font>
      <fill>
        <patternFill>
          <bgColor indexed="45"/>
        </patternFill>
      </fill>
    </dxf>
    <dxf>
      <font>
        <b val="0"/>
        <condense val="0"/>
        <extend val="0"/>
        <color indexed="20"/>
      </font>
      <fill>
        <patternFill patternType="solid">
          <fgColor indexed="64"/>
          <bgColor indexed="45"/>
        </patternFill>
      </fill>
    </dxf>
    <dxf>
      <font>
        <b val="0"/>
        <condense val="0"/>
        <extend val="0"/>
        <color indexed="20"/>
      </font>
      <fill>
        <patternFill patternType="solid">
          <fgColor indexed="64"/>
          <bgColor indexed="45"/>
        </patternFill>
      </fill>
    </dxf>
    <dxf>
      <font>
        <b val="0"/>
        <condense val="0"/>
        <extend val="0"/>
        <color indexed="20"/>
      </font>
      <fill>
        <patternFill patternType="solid">
          <fgColor indexed="64"/>
          <bgColor indexed="45"/>
        </patternFill>
      </fill>
    </dxf>
    <dxf>
      <font>
        <b val="0"/>
        <condense val="0"/>
        <extend val="0"/>
        <color indexed="20"/>
      </font>
      <fill>
        <patternFill patternType="solid">
          <fgColor indexed="64"/>
          <bgColor indexed="45"/>
        </patternFill>
      </fill>
    </dxf>
    <dxf>
      <font>
        <b val="0"/>
        <condense val="0"/>
        <extend val="0"/>
        <color indexed="20"/>
      </font>
      <fill>
        <patternFill patternType="solid">
          <fgColor indexed="64"/>
          <bgColor indexed="45"/>
        </patternFill>
      </fill>
    </dxf>
    <dxf>
      <font>
        <b val="0"/>
        <condense val="0"/>
        <extend val="0"/>
        <color indexed="20"/>
      </font>
      <fill>
        <patternFill patternType="solid">
          <fgColor indexed="64"/>
          <bgColor indexed="45"/>
        </patternFill>
      </fill>
    </dxf>
    <dxf>
      <font>
        <b val="0"/>
        <condense val="0"/>
        <extend val="0"/>
        <color indexed="20"/>
      </font>
      <fill>
        <patternFill patternType="solid">
          <fgColor indexed="64"/>
          <bgColor indexed="45"/>
        </patternFill>
      </fill>
    </dxf>
    <dxf>
      <font>
        <b val="0"/>
        <condense val="0"/>
        <extend val="0"/>
        <color indexed="20"/>
      </font>
      <fill>
        <patternFill patternType="solid">
          <fgColor indexed="64"/>
          <bgColor indexed="45"/>
        </patternFill>
      </fill>
    </dxf>
    <dxf>
      <font>
        <color indexed="20"/>
      </font>
      <fill>
        <patternFill>
          <bgColor indexed="45"/>
        </patternFill>
      </fill>
    </dxf>
    <dxf>
      <font>
        <color indexed="20"/>
      </font>
      <fill>
        <patternFill>
          <bgColor indexed="45"/>
        </patternFill>
      </fill>
    </dxf>
    <dxf>
      <font>
        <b val="0"/>
        <i val="0"/>
        <strike val="0"/>
        <condense val="0"/>
        <extend val="0"/>
        <outline val="0"/>
        <shadow val="0"/>
        <u val="none"/>
        <vertAlign val="baseline"/>
        <sz val="11"/>
        <color rgb="FF9C5700"/>
        <name val="Calibri"/>
        <family val="2"/>
        <scheme val="minor"/>
      </font>
      <fill>
        <patternFill patternType="solid">
          <fgColor indexed="64"/>
          <bgColor rgb="FFFFEB9C"/>
        </patternFill>
      </fill>
    </dxf>
    <dxf>
      <font>
        <color indexed="20"/>
      </font>
      <fill>
        <patternFill>
          <bgColor indexed="45"/>
        </patternFill>
      </fill>
    </dxf>
    <dxf>
      <font>
        <b val="0"/>
        <i val="0"/>
        <strike val="0"/>
        <condense val="0"/>
        <extend val="0"/>
        <outline val="0"/>
        <shadow val="0"/>
        <u val="none"/>
        <vertAlign val="baseline"/>
        <sz val="11"/>
        <color auto="1"/>
        <name val="Calibri"/>
        <family val="2"/>
        <scheme val="minor"/>
      </font>
      <numFmt numFmtId="35" formatCode="_ * #,##0.00_ ;_ * \-#,##0.00_ ;_ * &quot;-&quot;??_ ;_ @_ "/>
      <fill>
        <patternFill patternType="solid">
          <fgColor rgb="FF000000"/>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7" formatCode="_(* #,##0_);_(* \(#,##0\);_(* &quot;-&quot;??_);_(@_)"/>
      <fill>
        <patternFill patternType="solid">
          <fgColor rgb="FF000000"/>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5" formatCode="_ * #,##0_ ;_ * \-#,##0_ ;_ * &quot;-&quot;??_ ;_ @_ "/>
      <fill>
        <patternFill patternType="solid">
          <fgColor rgb="FF000000"/>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5" formatCode="_ * #,##0_ ;_ * \-#,##0_ ;_ * &quot;-&quot;??_ ;_ @_ "/>
      <fill>
        <patternFill patternType="solid">
          <fgColor rgb="FF000000"/>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65" formatCode="_ * #,##0_ ;_ * \-#,##0_ ;_ * &quot;-&quot;??_ ;_ @_ "/>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5" formatCode="_ * #,##0_ ;_ * \-#,##0_ ;_ * &quot;-&quot;??_ ;_ @_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67" formatCode="_(* #,##0_);_(* \(#,##0\);_(* &quot;-&quot;??_);_(@_)"/>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67" formatCode="_(* #,##0_);_(* \(#,##0\);_(* &quot;-&quot;??_);_(@_)"/>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67" formatCode="_(* #,##0_);_(* \(#,##0\);_(* &quot;-&quot;??_);_(@_)"/>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Times New Roman"/>
        <family val="1"/>
        <scheme val="none"/>
      </font>
      <numFmt numFmtId="167" formatCode="_(* #,##0_);_(* \(#,##0\);_(* &quot;-&quot;??_);_(@_)"/>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Times New Roman"/>
        <family val="1"/>
        <scheme val="none"/>
      </font>
      <numFmt numFmtId="165" formatCode="_ * #,##0_ ;_ * \-#,##0_ ;_ * &quot;-&quot;??_ ;_ @_ "/>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Times New Roman"/>
        <family val="1"/>
        <scheme val="none"/>
      </font>
      <numFmt numFmtId="167" formatCode="_(* #,##0_);_(* \(#,##0\);_(* &quot;-&quot;??_);_(@_)"/>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Times New Roman"/>
        <family val="1"/>
        <scheme val="none"/>
      </font>
      <numFmt numFmtId="165" formatCode="_ * #,##0_ ;_ * \-#,##0_ ;_ * &quot;-&quot;??_ ;_ @_ "/>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Times New Roman"/>
        <family val="1"/>
        <scheme val="none"/>
      </font>
      <numFmt numFmtId="1" formatCode="0"/>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Times New Roman"/>
        <family val="1"/>
        <scheme val="none"/>
      </font>
      <numFmt numFmtId="1" formatCode="0"/>
      <fill>
        <patternFill>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Times New Roman"/>
        <family val="1"/>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Times New Roman"/>
        <family val="1"/>
        <scheme val="none"/>
      </font>
      <numFmt numFmtId="168" formatCode="dd\-mm\-yyyy"/>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rgb="FF000000"/>
        </left>
      </border>
    </dxf>
    <dxf>
      <font>
        <b val="0"/>
        <i val="0"/>
        <strike val="0"/>
        <condense val="0"/>
        <extend val="0"/>
        <outline val="0"/>
        <shadow val="0"/>
        <u val="none"/>
        <vertAlign val="baseline"/>
        <sz val="11"/>
        <color auto="1"/>
        <name val="Calibri"/>
        <family val="2"/>
        <scheme val="minor"/>
      </font>
      <fill>
        <patternFill patternType="solid">
          <fgColor rgb="FF000000"/>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0" indent="0" justifyLastLine="0" shrinkToFit="0" readingOrder="0"/>
      <border diagonalUp="0" diagonalDown="0">
        <left style="thin">
          <color theme="4" tint="0.79998168889431442"/>
        </left>
        <right style="thin">
          <color theme="4" tint="0.79998168889431442"/>
        </right>
        <top/>
        <bottom/>
        <vertical style="thin">
          <color theme="4" tint="0.79998168889431442"/>
        </vertical>
        <horizontal style="thin">
          <color theme="4" tint="0.79998168889431442"/>
        </horizontal>
      </border>
    </dxf>
  </dxfs>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706992-8DED-40E5-9045-62E2EFB4F7B2}" name="Table1617" displayName="Table1617" ref="D1:Y92" totalsRowShown="0" headerRowDxfId="43" dataDxfId="42" tableBorderDxfId="41" headerRowCellStyle="Normal 5" dataCellStyle="Comma 6">
  <tableColumns count="22">
    <tableColumn id="30" xr3:uid="{60A2B9E5-7B58-46AD-88B8-13E07289CCD9}" name="Date of Joining" dataDxfId="40" dataCellStyle="Normal 5"/>
    <tableColumn id="3" xr3:uid="{69A4069B-FC24-409D-8B88-71E73624973A}" name="Location" dataDxfId="39" dataCellStyle="Normal 5"/>
    <tableColumn id="4" xr3:uid="{0C01055C-0887-4FA4-8917-3C992E87F2F1}" name="Unit" dataDxfId="38" dataCellStyle="Normal 5"/>
    <tableColumn id="5" xr3:uid="{2DFEA640-76E9-420E-ACF8-ED090A1AD563}" name="Designation" dataDxfId="37" dataCellStyle="Normal 5"/>
    <tableColumn id="6" xr3:uid="{CAB55554-7757-4AA7-B261-128F3890D28B}" name="Department" dataDxfId="36"/>
    <tableColumn id="9" xr3:uid="{18490F4D-48CC-48EE-A5A1-43DAF3837031}" name="Bank Name" dataDxfId="35"/>
    <tableColumn id="10" xr3:uid="{3BF40291-CDE6-46F4-BD05-65941DC48D95}" name="Bank account No" dataDxfId="34" dataCellStyle="Normal 5"/>
    <tableColumn id="11" xr3:uid="{4FF77630-DCD5-4087-9AD0-01FC2390B1AA}" name="IFSC" dataDxfId="33" dataCellStyle="Comma 6"/>
    <tableColumn id="1" xr3:uid="{30E18429-243F-45FB-9930-08444C60EF78}" name="PAN No" dataDxfId="32" dataCellStyle="Comma"/>
    <tableColumn id="14" xr3:uid="{A88F13DD-200B-49F7-AB06-FF9BF8E558A0}" name="M-Days" dataDxfId="31" dataCellStyle="Comma 6"/>
    <tableColumn id="15" xr3:uid="{F0A93C46-6A2E-49C5-A186-7393C33541F0}" name="Present days" dataDxfId="30" dataCellStyle="Comma 6"/>
    <tableColumn id="33" xr3:uid="{C056871B-DE4A-429A-B515-609E8AA4413F}" name="WO" dataDxfId="29" dataCellStyle="Comma">
      <calculatedColumnFormula>N2+#REF!</calculatedColumnFormula>
    </tableColumn>
    <tableColumn id="16" xr3:uid="{F6AA9768-52CF-4644-BEB1-728830D8E884}" name="HH" dataDxfId="28" dataCellStyle="Comma">
      <calculatedColumnFormula>O2*10%</calculatedColumnFormula>
    </tableColumn>
    <tableColumn id="17" xr3:uid="{7F16627C-DFE7-44A8-B514-830711171F35}" name="CO" dataDxfId="27" dataCellStyle="Comma">
      <calculatedColumnFormula>O2-P2</calculatedColumnFormula>
    </tableColumn>
    <tableColumn id="18" xr3:uid="{EE7A05C5-B208-4960-BE6A-58FECE0EC0B6}" name="CL" dataDxfId="26" dataCellStyle="Comma 6"/>
    <tableColumn id="19" xr3:uid="{F1C5CEE5-A3A0-4E3E-976A-27B2849B7C20}" name="LOP Days" dataDxfId="25" dataCellStyle="Comma 6"/>
    <tableColumn id="20" xr3:uid="{F8F7A573-1749-49E0-893A-3750D5507BDB}" name="Professional Fee" dataDxfId="24" dataCellStyle="Comma 6"/>
    <tableColumn id="21" xr3:uid="{342D8305-77DB-40EC-8CBF-B949F4881676}" name="TDS" dataDxfId="23" dataCellStyle="Normal 5"/>
    <tableColumn id="2" xr3:uid="{3E305BED-1D71-4AFC-A120-3280BF323E05}" name="Net Pay" dataDxfId="22" dataCellStyle="Comma 6"/>
    <tableColumn id="7" xr3:uid="{EF12A2AA-AA8C-4C7F-91C8-161A25DA868C}" name="YTD Professional Fee" dataDxfId="21" dataCellStyle="Comma 6"/>
    <tableColumn id="8" xr3:uid="{6ACFB1F3-FC41-49AB-9FCB-990112174EC9}" name="YTD TDS" dataDxfId="20" dataCellStyle="Comma">
      <calculatedColumnFormula>Table1617[[#This Row],[YTD Professional Fee]]*10%</calculatedColumnFormula>
    </tableColumn>
    <tableColumn id="13" xr3:uid="{6D5BBB86-D332-4D69-B5F1-6997EA33260D}" name="E-mail ID" dataDxfId="19" dataCellStyle="Comma 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ulmmina.salim@gmail.com" TargetMode="External"/><Relationship Id="rId3" Type="http://schemas.openxmlformats.org/officeDocument/2006/relationships/hyperlink" Target="mailto:kaushik.ys@gmail.com" TargetMode="External"/><Relationship Id="rId7" Type="http://schemas.openxmlformats.org/officeDocument/2006/relationships/hyperlink" Target="mailto:mayurirao0016@gmail.com" TargetMode="External"/><Relationship Id="rId2" Type="http://schemas.openxmlformats.org/officeDocument/2006/relationships/hyperlink" Target="mailto:geethakishore@gmail.com" TargetMode="External"/><Relationship Id="rId1" Type="http://schemas.openxmlformats.org/officeDocument/2006/relationships/hyperlink" Target="mailto:shubhahegde.bellimane@gmail.com" TargetMode="External"/><Relationship Id="rId6" Type="http://schemas.openxmlformats.org/officeDocument/2006/relationships/hyperlink" Target="mailto:drkranthimohan@gmail.com" TargetMode="External"/><Relationship Id="rId5" Type="http://schemas.openxmlformats.org/officeDocument/2006/relationships/hyperlink" Target="mailto:aswathk300@gmail.com" TargetMode="External"/><Relationship Id="rId10" Type="http://schemas.openxmlformats.org/officeDocument/2006/relationships/table" Target="../tables/table1.xml"/><Relationship Id="rId4" Type="http://schemas.openxmlformats.org/officeDocument/2006/relationships/hyperlink" Target="mailto:reddy1963@gmail.com"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D1E3F-9840-49AF-B560-B30608D3EFC5}">
  <dimension ref="A1:AA93"/>
  <sheetViews>
    <sheetView tabSelected="1" zoomScale="90" zoomScaleNormal="90" workbookViewId="0">
      <selection activeCell="B9" sqref="B9"/>
    </sheetView>
  </sheetViews>
  <sheetFormatPr defaultColWidth="8.81640625" defaultRowHeight="14.5" x14ac:dyDescent="0.35"/>
  <cols>
    <col min="1" max="1" width="11" style="2" customWidth="1"/>
    <col min="2" max="2" width="23.26953125" style="2" bestFit="1" customWidth="1"/>
    <col min="3" max="3" width="14.36328125" style="2" customWidth="1"/>
    <col min="4" max="4" width="17" style="2" customWidth="1"/>
    <col min="5" max="5" width="16.08984375" style="2" customWidth="1"/>
    <col min="6" max="6" width="14.81640625" style="2" customWidth="1"/>
    <col min="7" max="7" width="19.36328125" style="2" customWidth="1"/>
    <col min="8" max="8" width="20.26953125" style="2" customWidth="1"/>
    <col min="9" max="9" width="13.54296875" style="2" customWidth="1"/>
    <col min="10" max="10" width="16" style="3" customWidth="1"/>
    <col min="11" max="11" width="12.453125" style="4" customWidth="1"/>
    <col min="12" max="12" width="10.90625" style="4" customWidth="1"/>
    <col min="13" max="13" width="11.26953125" style="4" customWidth="1"/>
    <col min="14" max="14" width="14.54296875" style="4" customWidth="1"/>
    <col min="15" max="15" width="13.08984375" style="4" customWidth="1"/>
    <col min="16" max="16" width="16.453125" style="4" customWidth="1"/>
    <col min="17" max="17" width="12.90625" style="2" customWidth="1"/>
    <col min="18" max="18" width="18.26953125" style="4" customWidth="1"/>
    <col min="19" max="19" width="27.90625" style="4" customWidth="1"/>
    <col min="20" max="20" width="19.36328125" style="4" customWidth="1"/>
    <col min="21" max="21" width="19.90625" style="4" customWidth="1"/>
    <col min="22" max="22" width="13.453125" style="2" customWidth="1"/>
    <col min="23" max="23" width="20.36328125" style="2" customWidth="1"/>
    <col min="24" max="24" width="13.26953125" style="2" customWidth="1"/>
    <col min="25" max="25" width="51.1796875" style="2" bestFit="1" customWidth="1"/>
    <col min="26" max="26" width="25.36328125" style="2" customWidth="1"/>
    <col min="27" max="254" width="8.81640625" style="2"/>
    <col min="255" max="255" width="8.54296875" style="2" bestFit="1" customWidth="1"/>
    <col min="256" max="256" width="12.453125" style="2" bestFit="1" customWidth="1"/>
    <col min="257" max="257" width="8.54296875" style="2" customWidth="1"/>
    <col min="258" max="258" width="30.81640625" style="2" bestFit="1" customWidth="1"/>
    <col min="259" max="259" width="0" style="2" hidden="1" customWidth="1"/>
    <col min="260" max="260" width="40.1796875" style="2" customWidth="1"/>
    <col min="261" max="261" width="31.6328125" style="2" customWidth="1"/>
    <col min="262" max="263" width="0" style="2" hidden="1" customWidth="1"/>
    <col min="264" max="264" width="15.36328125" style="2" customWidth="1"/>
    <col min="265" max="265" width="16" style="2" customWidth="1"/>
    <col min="266" max="267" width="16.1796875" style="2" customWidth="1"/>
    <col min="268" max="268" width="18.453125" style="2" bestFit="1" customWidth="1"/>
    <col min="269" max="270" width="18.453125" style="2" customWidth="1"/>
    <col min="271" max="271" width="16.453125" style="2" customWidth="1"/>
    <col min="272" max="272" width="12.90625" style="2" customWidth="1"/>
    <col min="273" max="273" width="18.26953125" style="2" bestFit="1" customWidth="1"/>
    <col min="274" max="274" width="27.90625" style="2" customWidth="1"/>
    <col min="275" max="275" width="19.36328125" style="2" bestFit="1" customWidth="1"/>
    <col min="276" max="276" width="19.90625" style="2" customWidth="1"/>
    <col min="277" max="277" width="13.453125" style="2" bestFit="1" customWidth="1"/>
    <col min="278" max="510" width="8.81640625" style="2"/>
    <col min="511" max="511" width="8.54296875" style="2" bestFit="1" customWidth="1"/>
    <col min="512" max="512" width="12.453125" style="2" bestFit="1" customWidth="1"/>
    <col min="513" max="513" width="8.54296875" style="2" customWidth="1"/>
    <col min="514" max="514" width="30.81640625" style="2" bestFit="1" customWidth="1"/>
    <col min="515" max="515" width="0" style="2" hidden="1" customWidth="1"/>
    <col min="516" max="516" width="40.1796875" style="2" customWidth="1"/>
    <col min="517" max="517" width="31.6328125" style="2" customWidth="1"/>
    <col min="518" max="519" width="0" style="2" hidden="1" customWidth="1"/>
    <col min="520" max="520" width="15.36328125" style="2" customWidth="1"/>
    <col min="521" max="521" width="16" style="2" customWidth="1"/>
    <col min="522" max="523" width="16.1796875" style="2" customWidth="1"/>
    <col min="524" max="524" width="18.453125" style="2" bestFit="1" customWidth="1"/>
    <col min="525" max="526" width="18.453125" style="2" customWidth="1"/>
    <col min="527" max="527" width="16.453125" style="2" customWidth="1"/>
    <col min="528" max="528" width="12.90625" style="2" customWidth="1"/>
    <col min="529" max="529" width="18.26953125" style="2" bestFit="1" customWidth="1"/>
    <col min="530" max="530" width="27.90625" style="2" customWidth="1"/>
    <col min="531" max="531" width="19.36328125" style="2" bestFit="1" customWidth="1"/>
    <col min="532" max="532" width="19.90625" style="2" customWidth="1"/>
    <col min="533" max="533" width="13.453125" style="2" bestFit="1" customWidth="1"/>
    <col min="534" max="766" width="8.81640625" style="2"/>
    <col min="767" max="767" width="8.54296875" style="2" bestFit="1" customWidth="1"/>
    <col min="768" max="768" width="12.453125" style="2" bestFit="1" customWidth="1"/>
    <col min="769" max="769" width="8.54296875" style="2" customWidth="1"/>
    <col min="770" max="770" width="30.81640625" style="2" bestFit="1" customWidth="1"/>
    <col min="771" max="771" width="0" style="2" hidden="1" customWidth="1"/>
    <col min="772" max="772" width="40.1796875" style="2" customWidth="1"/>
    <col min="773" max="773" width="31.6328125" style="2" customWidth="1"/>
    <col min="774" max="775" width="0" style="2" hidden="1" customWidth="1"/>
    <col min="776" max="776" width="15.36328125" style="2" customWidth="1"/>
    <col min="777" max="777" width="16" style="2" customWidth="1"/>
    <col min="778" max="779" width="16.1796875" style="2" customWidth="1"/>
    <col min="780" max="780" width="18.453125" style="2" bestFit="1" customWidth="1"/>
    <col min="781" max="782" width="18.453125" style="2" customWidth="1"/>
    <col min="783" max="783" width="16.453125" style="2" customWidth="1"/>
    <col min="784" max="784" width="12.90625" style="2" customWidth="1"/>
    <col min="785" max="785" width="18.26953125" style="2" bestFit="1" customWidth="1"/>
    <col min="786" max="786" width="27.90625" style="2" customWidth="1"/>
    <col min="787" max="787" width="19.36328125" style="2" bestFit="1" customWidth="1"/>
    <col min="788" max="788" width="19.90625" style="2" customWidth="1"/>
    <col min="789" max="789" width="13.453125" style="2" bestFit="1" customWidth="1"/>
    <col min="790" max="1022" width="8.81640625" style="2"/>
    <col min="1023" max="1023" width="8.54296875" style="2" bestFit="1" customWidth="1"/>
    <col min="1024" max="1024" width="12.453125" style="2" bestFit="1" customWidth="1"/>
    <col min="1025" max="1025" width="8.54296875" style="2" customWidth="1"/>
    <col min="1026" max="1026" width="30.81640625" style="2" bestFit="1" customWidth="1"/>
    <col min="1027" max="1027" width="0" style="2" hidden="1" customWidth="1"/>
    <col min="1028" max="1028" width="40.1796875" style="2" customWidth="1"/>
    <col min="1029" max="1029" width="31.6328125" style="2" customWidth="1"/>
    <col min="1030" max="1031" width="0" style="2" hidden="1" customWidth="1"/>
    <col min="1032" max="1032" width="15.36328125" style="2" customWidth="1"/>
    <col min="1033" max="1033" width="16" style="2" customWidth="1"/>
    <col min="1034" max="1035" width="16.1796875" style="2" customWidth="1"/>
    <col min="1036" max="1036" width="18.453125" style="2" bestFit="1" customWidth="1"/>
    <col min="1037" max="1038" width="18.453125" style="2" customWidth="1"/>
    <col min="1039" max="1039" width="16.453125" style="2" customWidth="1"/>
    <col min="1040" max="1040" width="12.90625" style="2" customWidth="1"/>
    <col min="1041" max="1041" width="18.26953125" style="2" bestFit="1" customWidth="1"/>
    <col min="1042" max="1042" width="27.90625" style="2" customWidth="1"/>
    <col min="1043" max="1043" width="19.36328125" style="2" bestFit="1" customWidth="1"/>
    <col min="1044" max="1044" width="19.90625" style="2" customWidth="1"/>
    <col min="1045" max="1045" width="13.453125" style="2" bestFit="1" customWidth="1"/>
    <col min="1046" max="1278" width="8.81640625" style="2"/>
    <col min="1279" max="1279" width="8.54296875" style="2" bestFit="1" customWidth="1"/>
    <col min="1280" max="1280" width="12.453125" style="2" bestFit="1" customWidth="1"/>
    <col min="1281" max="1281" width="8.54296875" style="2" customWidth="1"/>
    <col min="1282" max="1282" width="30.81640625" style="2" bestFit="1" customWidth="1"/>
    <col min="1283" max="1283" width="0" style="2" hidden="1" customWidth="1"/>
    <col min="1284" max="1284" width="40.1796875" style="2" customWidth="1"/>
    <col min="1285" max="1285" width="31.6328125" style="2" customWidth="1"/>
    <col min="1286" max="1287" width="0" style="2" hidden="1" customWidth="1"/>
    <col min="1288" max="1288" width="15.36328125" style="2" customWidth="1"/>
    <col min="1289" max="1289" width="16" style="2" customWidth="1"/>
    <col min="1290" max="1291" width="16.1796875" style="2" customWidth="1"/>
    <col min="1292" max="1292" width="18.453125" style="2" bestFit="1" customWidth="1"/>
    <col min="1293" max="1294" width="18.453125" style="2" customWidth="1"/>
    <col min="1295" max="1295" width="16.453125" style="2" customWidth="1"/>
    <col min="1296" max="1296" width="12.90625" style="2" customWidth="1"/>
    <col min="1297" max="1297" width="18.26953125" style="2" bestFit="1" customWidth="1"/>
    <col min="1298" max="1298" width="27.90625" style="2" customWidth="1"/>
    <col min="1299" max="1299" width="19.36328125" style="2" bestFit="1" customWidth="1"/>
    <col min="1300" max="1300" width="19.90625" style="2" customWidth="1"/>
    <col min="1301" max="1301" width="13.453125" style="2" bestFit="1" customWidth="1"/>
    <col min="1302" max="1534" width="8.81640625" style="2"/>
    <col min="1535" max="1535" width="8.54296875" style="2" bestFit="1" customWidth="1"/>
    <col min="1536" max="1536" width="12.453125" style="2" bestFit="1" customWidth="1"/>
    <col min="1537" max="1537" width="8.54296875" style="2" customWidth="1"/>
    <col min="1538" max="1538" width="30.81640625" style="2" bestFit="1" customWidth="1"/>
    <col min="1539" max="1539" width="0" style="2" hidden="1" customWidth="1"/>
    <col min="1540" max="1540" width="40.1796875" style="2" customWidth="1"/>
    <col min="1541" max="1541" width="31.6328125" style="2" customWidth="1"/>
    <col min="1542" max="1543" width="0" style="2" hidden="1" customWidth="1"/>
    <col min="1544" max="1544" width="15.36328125" style="2" customWidth="1"/>
    <col min="1545" max="1545" width="16" style="2" customWidth="1"/>
    <col min="1546" max="1547" width="16.1796875" style="2" customWidth="1"/>
    <col min="1548" max="1548" width="18.453125" style="2" bestFit="1" customWidth="1"/>
    <col min="1549" max="1550" width="18.453125" style="2" customWidth="1"/>
    <col min="1551" max="1551" width="16.453125" style="2" customWidth="1"/>
    <col min="1552" max="1552" width="12.90625" style="2" customWidth="1"/>
    <col min="1553" max="1553" width="18.26953125" style="2" bestFit="1" customWidth="1"/>
    <col min="1554" max="1554" width="27.90625" style="2" customWidth="1"/>
    <col min="1555" max="1555" width="19.36328125" style="2" bestFit="1" customWidth="1"/>
    <col min="1556" max="1556" width="19.90625" style="2" customWidth="1"/>
    <col min="1557" max="1557" width="13.453125" style="2" bestFit="1" customWidth="1"/>
    <col min="1558" max="1790" width="8.81640625" style="2"/>
    <col min="1791" max="1791" width="8.54296875" style="2" bestFit="1" customWidth="1"/>
    <col min="1792" max="1792" width="12.453125" style="2" bestFit="1" customWidth="1"/>
    <col min="1793" max="1793" width="8.54296875" style="2" customWidth="1"/>
    <col min="1794" max="1794" width="30.81640625" style="2" bestFit="1" customWidth="1"/>
    <col min="1795" max="1795" width="0" style="2" hidden="1" customWidth="1"/>
    <col min="1796" max="1796" width="40.1796875" style="2" customWidth="1"/>
    <col min="1797" max="1797" width="31.6328125" style="2" customWidth="1"/>
    <col min="1798" max="1799" width="0" style="2" hidden="1" customWidth="1"/>
    <col min="1800" max="1800" width="15.36328125" style="2" customWidth="1"/>
    <col min="1801" max="1801" width="16" style="2" customWidth="1"/>
    <col min="1802" max="1803" width="16.1796875" style="2" customWidth="1"/>
    <col min="1804" max="1804" width="18.453125" style="2" bestFit="1" customWidth="1"/>
    <col min="1805" max="1806" width="18.453125" style="2" customWidth="1"/>
    <col min="1807" max="1807" width="16.453125" style="2" customWidth="1"/>
    <col min="1808" max="1808" width="12.90625" style="2" customWidth="1"/>
    <col min="1809" max="1809" width="18.26953125" style="2" bestFit="1" customWidth="1"/>
    <col min="1810" max="1810" width="27.90625" style="2" customWidth="1"/>
    <col min="1811" max="1811" width="19.36328125" style="2" bestFit="1" customWidth="1"/>
    <col min="1812" max="1812" width="19.90625" style="2" customWidth="1"/>
    <col min="1813" max="1813" width="13.453125" style="2" bestFit="1" customWidth="1"/>
    <col min="1814" max="2046" width="8.81640625" style="2"/>
    <col min="2047" max="2047" width="8.54296875" style="2" bestFit="1" customWidth="1"/>
    <col min="2048" max="2048" width="12.453125" style="2" bestFit="1" customWidth="1"/>
    <col min="2049" max="2049" width="8.54296875" style="2" customWidth="1"/>
    <col min="2050" max="2050" width="30.81640625" style="2" bestFit="1" customWidth="1"/>
    <col min="2051" max="2051" width="0" style="2" hidden="1" customWidth="1"/>
    <col min="2052" max="2052" width="40.1796875" style="2" customWidth="1"/>
    <col min="2053" max="2053" width="31.6328125" style="2" customWidth="1"/>
    <col min="2054" max="2055" width="0" style="2" hidden="1" customWidth="1"/>
    <col min="2056" max="2056" width="15.36328125" style="2" customWidth="1"/>
    <col min="2057" max="2057" width="16" style="2" customWidth="1"/>
    <col min="2058" max="2059" width="16.1796875" style="2" customWidth="1"/>
    <col min="2060" max="2060" width="18.453125" style="2" bestFit="1" customWidth="1"/>
    <col min="2061" max="2062" width="18.453125" style="2" customWidth="1"/>
    <col min="2063" max="2063" width="16.453125" style="2" customWidth="1"/>
    <col min="2064" max="2064" width="12.90625" style="2" customWidth="1"/>
    <col min="2065" max="2065" width="18.26953125" style="2" bestFit="1" customWidth="1"/>
    <col min="2066" max="2066" width="27.90625" style="2" customWidth="1"/>
    <col min="2067" max="2067" width="19.36328125" style="2" bestFit="1" customWidth="1"/>
    <col min="2068" max="2068" width="19.90625" style="2" customWidth="1"/>
    <col min="2069" max="2069" width="13.453125" style="2" bestFit="1" customWidth="1"/>
    <col min="2070" max="2302" width="8.81640625" style="2"/>
    <col min="2303" max="2303" width="8.54296875" style="2" bestFit="1" customWidth="1"/>
    <col min="2304" max="2304" width="12.453125" style="2" bestFit="1" customWidth="1"/>
    <col min="2305" max="2305" width="8.54296875" style="2" customWidth="1"/>
    <col min="2306" max="2306" width="30.81640625" style="2" bestFit="1" customWidth="1"/>
    <col min="2307" max="2307" width="0" style="2" hidden="1" customWidth="1"/>
    <col min="2308" max="2308" width="40.1796875" style="2" customWidth="1"/>
    <col min="2309" max="2309" width="31.6328125" style="2" customWidth="1"/>
    <col min="2310" max="2311" width="0" style="2" hidden="1" customWidth="1"/>
    <col min="2312" max="2312" width="15.36328125" style="2" customWidth="1"/>
    <col min="2313" max="2313" width="16" style="2" customWidth="1"/>
    <col min="2314" max="2315" width="16.1796875" style="2" customWidth="1"/>
    <col min="2316" max="2316" width="18.453125" style="2" bestFit="1" customWidth="1"/>
    <col min="2317" max="2318" width="18.453125" style="2" customWidth="1"/>
    <col min="2319" max="2319" width="16.453125" style="2" customWidth="1"/>
    <col min="2320" max="2320" width="12.90625" style="2" customWidth="1"/>
    <col min="2321" max="2321" width="18.26953125" style="2" bestFit="1" customWidth="1"/>
    <col min="2322" max="2322" width="27.90625" style="2" customWidth="1"/>
    <col min="2323" max="2323" width="19.36328125" style="2" bestFit="1" customWidth="1"/>
    <col min="2324" max="2324" width="19.90625" style="2" customWidth="1"/>
    <col min="2325" max="2325" width="13.453125" style="2" bestFit="1" customWidth="1"/>
    <col min="2326" max="2558" width="8.81640625" style="2"/>
    <col min="2559" max="2559" width="8.54296875" style="2" bestFit="1" customWidth="1"/>
    <col min="2560" max="2560" width="12.453125" style="2" bestFit="1" customWidth="1"/>
    <col min="2561" max="2561" width="8.54296875" style="2" customWidth="1"/>
    <col min="2562" max="2562" width="30.81640625" style="2" bestFit="1" customWidth="1"/>
    <col min="2563" max="2563" width="0" style="2" hidden="1" customWidth="1"/>
    <col min="2564" max="2564" width="40.1796875" style="2" customWidth="1"/>
    <col min="2565" max="2565" width="31.6328125" style="2" customWidth="1"/>
    <col min="2566" max="2567" width="0" style="2" hidden="1" customWidth="1"/>
    <col min="2568" max="2568" width="15.36328125" style="2" customWidth="1"/>
    <col min="2569" max="2569" width="16" style="2" customWidth="1"/>
    <col min="2570" max="2571" width="16.1796875" style="2" customWidth="1"/>
    <col min="2572" max="2572" width="18.453125" style="2" bestFit="1" customWidth="1"/>
    <col min="2573" max="2574" width="18.453125" style="2" customWidth="1"/>
    <col min="2575" max="2575" width="16.453125" style="2" customWidth="1"/>
    <col min="2576" max="2576" width="12.90625" style="2" customWidth="1"/>
    <col min="2577" max="2577" width="18.26953125" style="2" bestFit="1" customWidth="1"/>
    <col min="2578" max="2578" width="27.90625" style="2" customWidth="1"/>
    <col min="2579" max="2579" width="19.36328125" style="2" bestFit="1" customWidth="1"/>
    <col min="2580" max="2580" width="19.90625" style="2" customWidth="1"/>
    <col min="2581" max="2581" width="13.453125" style="2" bestFit="1" customWidth="1"/>
    <col min="2582" max="2814" width="8.81640625" style="2"/>
    <col min="2815" max="2815" width="8.54296875" style="2" bestFit="1" customWidth="1"/>
    <col min="2816" max="2816" width="12.453125" style="2" bestFit="1" customWidth="1"/>
    <col min="2817" max="2817" width="8.54296875" style="2" customWidth="1"/>
    <col min="2818" max="2818" width="30.81640625" style="2" bestFit="1" customWidth="1"/>
    <col min="2819" max="2819" width="0" style="2" hidden="1" customWidth="1"/>
    <col min="2820" max="2820" width="40.1796875" style="2" customWidth="1"/>
    <col min="2821" max="2821" width="31.6328125" style="2" customWidth="1"/>
    <col min="2822" max="2823" width="0" style="2" hidden="1" customWidth="1"/>
    <col min="2824" max="2824" width="15.36328125" style="2" customWidth="1"/>
    <col min="2825" max="2825" width="16" style="2" customWidth="1"/>
    <col min="2826" max="2827" width="16.1796875" style="2" customWidth="1"/>
    <col min="2828" max="2828" width="18.453125" style="2" bestFit="1" customWidth="1"/>
    <col min="2829" max="2830" width="18.453125" style="2" customWidth="1"/>
    <col min="2831" max="2831" width="16.453125" style="2" customWidth="1"/>
    <col min="2832" max="2832" width="12.90625" style="2" customWidth="1"/>
    <col min="2833" max="2833" width="18.26953125" style="2" bestFit="1" customWidth="1"/>
    <col min="2834" max="2834" width="27.90625" style="2" customWidth="1"/>
    <col min="2835" max="2835" width="19.36328125" style="2" bestFit="1" customWidth="1"/>
    <col min="2836" max="2836" width="19.90625" style="2" customWidth="1"/>
    <col min="2837" max="2837" width="13.453125" style="2" bestFit="1" customWidth="1"/>
    <col min="2838" max="3070" width="8.81640625" style="2"/>
    <col min="3071" max="3071" width="8.54296875" style="2" bestFit="1" customWidth="1"/>
    <col min="3072" max="3072" width="12.453125" style="2" bestFit="1" customWidth="1"/>
    <col min="3073" max="3073" width="8.54296875" style="2" customWidth="1"/>
    <col min="3074" max="3074" width="30.81640625" style="2" bestFit="1" customWidth="1"/>
    <col min="3075" max="3075" width="0" style="2" hidden="1" customWidth="1"/>
    <col min="3076" max="3076" width="40.1796875" style="2" customWidth="1"/>
    <col min="3077" max="3077" width="31.6328125" style="2" customWidth="1"/>
    <col min="3078" max="3079" width="0" style="2" hidden="1" customWidth="1"/>
    <col min="3080" max="3080" width="15.36328125" style="2" customWidth="1"/>
    <col min="3081" max="3081" width="16" style="2" customWidth="1"/>
    <col min="3082" max="3083" width="16.1796875" style="2" customWidth="1"/>
    <col min="3084" max="3084" width="18.453125" style="2" bestFit="1" customWidth="1"/>
    <col min="3085" max="3086" width="18.453125" style="2" customWidth="1"/>
    <col min="3087" max="3087" width="16.453125" style="2" customWidth="1"/>
    <col min="3088" max="3088" width="12.90625" style="2" customWidth="1"/>
    <col min="3089" max="3089" width="18.26953125" style="2" bestFit="1" customWidth="1"/>
    <col min="3090" max="3090" width="27.90625" style="2" customWidth="1"/>
    <col min="3091" max="3091" width="19.36328125" style="2" bestFit="1" customWidth="1"/>
    <col min="3092" max="3092" width="19.90625" style="2" customWidth="1"/>
    <col min="3093" max="3093" width="13.453125" style="2" bestFit="1" customWidth="1"/>
    <col min="3094" max="3326" width="8.81640625" style="2"/>
    <col min="3327" max="3327" width="8.54296875" style="2" bestFit="1" customWidth="1"/>
    <col min="3328" max="3328" width="12.453125" style="2" bestFit="1" customWidth="1"/>
    <col min="3329" max="3329" width="8.54296875" style="2" customWidth="1"/>
    <col min="3330" max="3330" width="30.81640625" style="2" bestFit="1" customWidth="1"/>
    <col min="3331" max="3331" width="0" style="2" hidden="1" customWidth="1"/>
    <col min="3332" max="3332" width="40.1796875" style="2" customWidth="1"/>
    <col min="3333" max="3333" width="31.6328125" style="2" customWidth="1"/>
    <col min="3334" max="3335" width="0" style="2" hidden="1" customWidth="1"/>
    <col min="3336" max="3336" width="15.36328125" style="2" customWidth="1"/>
    <col min="3337" max="3337" width="16" style="2" customWidth="1"/>
    <col min="3338" max="3339" width="16.1796875" style="2" customWidth="1"/>
    <col min="3340" max="3340" width="18.453125" style="2" bestFit="1" customWidth="1"/>
    <col min="3341" max="3342" width="18.453125" style="2" customWidth="1"/>
    <col min="3343" max="3343" width="16.453125" style="2" customWidth="1"/>
    <col min="3344" max="3344" width="12.90625" style="2" customWidth="1"/>
    <col min="3345" max="3345" width="18.26953125" style="2" bestFit="1" customWidth="1"/>
    <col min="3346" max="3346" width="27.90625" style="2" customWidth="1"/>
    <col min="3347" max="3347" width="19.36328125" style="2" bestFit="1" customWidth="1"/>
    <col min="3348" max="3348" width="19.90625" style="2" customWidth="1"/>
    <col min="3349" max="3349" width="13.453125" style="2" bestFit="1" customWidth="1"/>
    <col min="3350" max="3582" width="8.81640625" style="2"/>
    <col min="3583" max="3583" width="8.54296875" style="2" bestFit="1" customWidth="1"/>
    <col min="3584" max="3584" width="12.453125" style="2" bestFit="1" customWidth="1"/>
    <col min="3585" max="3585" width="8.54296875" style="2" customWidth="1"/>
    <col min="3586" max="3586" width="30.81640625" style="2" bestFit="1" customWidth="1"/>
    <col min="3587" max="3587" width="0" style="2" hidden="1" customWidth="1"/>
    <col min="3588" max="3588" width="40.1796875" style="2" customWidth="1"/>
    <col min="3589" max="3589" width="31.6328125" style="2" customWidth="1"/>
    <col min="3590" max="3591" width="0" style="2" hidden="1" customWidth="1"/>
    <col min="3592" max="3592" width="15.36328125" style="2" customWidth="1"/>
    <col min="3593" max="3593" width="16" style="2" customWidth="1"/>
    <col min="3594" max="3595" width="16.1796875" style="2" customWidth="1"/>
    <col min="3596" max="3596" width="18.453125" style="2" bestFit="1" customWidth="1"/>
    <col min="3597" max="3598" width="18.453125" style="2" customWidth="1"/>
    <col min="3599" max="3599" width="16.453125" style="2" customWidth="1"/>
    <col min="3600" max="3600" width="12.90625" style="2" customWidth="1"/>
    <col min="3601" max="3601" width="18.26953125" style="2" bestFit="1" customWidth="1"/>
    <col min="3602" max="3602" width="27.90625" style="2" customWidth="1"/>
    <col min="3603" max="3603" width="19.36328125" style="2" bestFit="1" customWidth="1"/>
    <col min="3604" max="3604" width="19.90625" style="2" customWidth="1"/>
    <col min="3605" max="3605" width="13.453125" style="2" bestFit="1" customWidth="1"/>
    <col min="3606" max="3838" width="8.81640625" style="2"/>
    <col min="3839" max="3839" width="8.54296875" style="2" bestFit="1" customWidth="1"/>
    <col min="3840" max="3840" width="12.453125" style="2" bestFit="1" customWidth="1"/>
    <col min="3841" max="3841" width="8.54296875" style="2" customWidth="1"/>
    <col min="3842" max="3842" width="30.81640625" style="2" bestFit="1" customWidth="1"/>
    <col min="3843" max="3843" width="0" style="2" hidden="1" customWidth="1"/>
    <col min="3844" max="3844" width="40.1796875" style="2" customWidth="1"/>
    <col min="3845" max="3845" width="31.6328125" style="2" customWidth="1"/>
    <col min="3846" max="3847" width="0" style="2" hidden="1" customWidth="1"/>
    <col min="3848" max="3848" width="15.36328125" style="2" customWidth="1"/>
    <col min="3849" max="3849" width="16" style="2" customWidth="1"/>
    <col min="3850" max="3851" width="16.1796875" style="2" customWidth="1"/>
    <col min="3852" max="3852" width="18.453125" style="2" bestFit="1" customWidth="1"/>
    <col min="3853" max="3854" width="18.453125" style="2" customWidth="1"/>
    <col min="3855" max="3855" width="16.453125" style="2" customWidth="1"/>
    <col min="3856" max="3856" width="12.90625" style="2" customWidth="1"/>
    <col min="3857" max="3857" width="18.26953125" style="2" bestFit="1" customWidth="1"/>
    <col min="3858" max="3858" width="27.90625" style="2" customWidth="1"/>
    <col min="3859" max="3859" width="19.36328125" style="2" bestFit="1" customWidth="1"/>
    <col min="3860" max="3860" width="19.90625" style="2" customWidth="1"/>
    <col min="3861" max="3861" width="13.453125" style="2" bestFit="1" customWidth="1"/>
    <col min="3862" max="4094" width="8.81640625" style="2"/>
    <col min="4095" max="4095" width="8.54296875" style="2" bestFit="1" customWidth="1"/>
    <col min="4096" max="4096" width="12.453125" style="2" bestFit="1" customWidth="1"/>
    <col min="4097" max="4097" width="8.54296875" style="2" customWidth="1"/>
    <col min="4098" max="4098" width="30.81640625" style="2" bestFit="1" customWidth="1"/>
    <col min="4099" max="4099" width="0" style="2" hidden="1" customWidth="1"/>
    <col min="4100" max="4100" width="40.1796875" style="2" customWidth="1"/>
    <col min="4101" max="4101" width="31.6328125" style="2" customWidth="1"/>
    <col min="4102" max="4103" width="0" style="2" hidden="1" customWidth="1"/>
    <col min="4104" max="4104" width="15.36328125" style="2" customWidth="1"/>
    <col min="4105" max="4105" width="16" style="2" customWidth="1"/>
    <col min="4106" max="4107" width="16.1796875" style="2" customWidth="1"/>
    <col min="4108" max="4108" width="18.453125" style="2" bestFit="1" customWidth="1"/>
    <col min="4109" max="4110" width="18.453125" style="2" customWidth="1"/>
    <col min="4111" max="4111" width="16.453125" style="2" customWidth="1"/>
    <col min="4112" max="4112" width="12.90625" style="2" customWidth="1"/>
    <col min="4113" max="4113" width="18.26953125" style="2" bestFit="1" customWidth="1"/>
    <col min="4114" max="4114" width="27.90625" style="2" customWidth="1"/>
    <col min="4115" max="4115" width="19.36328125" style="2" bestFit="1" customWidth="1"/>
    <col min="4116" max="4116" width="19.90625" style="2" customWidth="1"/>
    <col min="4117" max="4117" width="13.453125" style="2" bestFit="1" customWidth="1"/>
    <col min="4118" max="4350" width="8.81640625" style="2"/>
    <col min="4351" max="4351" width="8.54296875" style="2" bestFit="1" customWidth="1"/>
    <col min="4352" max="4352" width="12.453125" style="2" bestFit="1" customWidth="1"/>
    <col min="4353" max="4353" width="8.54296875" style="2" customWidth="1"/>
    <col min="4354" max="4354" width="30.81640625" style="2" bestFit="1" customWidth="1"/>
    <col min="4355" max="4355" width="0" style="2" hidden="1" customWidth="1"/>
    <col min="4356" max="4356" width="40.1796875" style="2" customWidth="1"/>
    <col min="4357" max="4357" width="31.6328125" style="2" customWidth="1"/>
    <col min="4358" max="4359" width="0" style="2" hidden="1" customWidth="1"/>
    <col min="4360" max="4360" width="15.36328125" style="2" customWidth="1"/>
    <col min="4361" max="4361" width="16" style="2" customWidth="1"/>
    <col min="4362" max="4363" width="16.1796875" style="2" customWidth="1"/>
    <col min="4364" max="4364" width="18.453125" style="2" bestFit="1" customWidth="1"/>
    <col min="4365" max="4366" width="18.453125" style="2" customWidth="1"/>
    <col min="4367" max="4367" width="16.453125" style="2" customWidth="1"/>
    <col min="4368" max="4368" width="12.90625" style="2" customWidth="1"/>
    <col min="4369" max="4369" width="18.26953125" style="2" bestFit="1" customWidth="1"/>
    <col min="4370" max="4370" width="27.90625" style="2" customWidth="1"/>
    <col min="4371" max="4371" width="19.36328125" style="2" bestFit="1" customWidth="1"/>
    <col min="4372" max="4372" width="19.90625" style="2" customWidth="1"/>
    <col min="4373" max="4373" width="13.453125" style="2" bestFit="1" customWidth="1"/>
    <col min="4374" max="4606" width="8.81640625" style="2"/>
    <col min="4607" max="4607" width="8.54296875" style="2" bestFit="1" customWidth="1"/>
    <col min="4608" max="4608" width="12.453125" style="2" bestFit="1" customWidth="1"/>
    <col min="4609" max="4609" width="8.54296875" style="2" customWidth="1"/>
    <col min="4610" max="4610" width="30.81640625" style="2" bestFit="1" customWidth="1"/>
    <col min="4611" max="4611" width="0" style="2" hidden="1" customWidth="1"/>
    <col min="4612" max="4612" width="40.1796875" style="2" customWidth="1"/>
    <col min="4613" max="4613" width="31.6328125" style="2" customWidth="1"/>
    <col min="4614" max="4615" width="0" style="2" hidden="1" customWidth="1"/>
    <col min="4616" max="4616" width="15.36328125" style="2" customWidth="1"/>
    <col min="4617" max="4617" width="16" style="2" customWidth="1"/>
    <col min="4618" max="4619" width="16.1796875" style="2" customWidth="1"/>
    <col min="4620" max="4620" width="18.453125" style="2" bestFit="1" customWidth="1"/>
    <col min="4621" max="4622" width="18.453125" style="2" customWidth="1"/>
    <col min="4623" max="4623" width="16.453125" style="2" customWidth="1"/>
    <col min="4624" max="4624" width="12.90625" style="2" customWidth="1"/>
    <col min="4625" max="4625" width="18.26953125" style="2" bestFit="1" customWidth="1"/>
    <col min="4626" max="4626" width="27.90625" style="2" customWidth="1"/>
    <col min="4627" max="4627" width="19.36328125" style="2" bestFit="1" customWidth="1"/>
    <col min="4628" max="4628" width="19.90625" style="2" customWidth="1"/>
    <col min="4629" max="4629" width="13.453125" style="2" bestFit="1" customWidth="1"/>
    <col min="4630" max="4862" width="8.81640625" style="2"/>
    <col min="4863" max="4863" width="8.54296875" style="2" bestFit="1" customWidth="1"/>
    <col min="4864" max="4864" width="12.453125" style="2" bestFit="1" customWidth="1"/>
    <col min="4865" max="4865" width="8.54296875" style="2" customWidth="1"/>
    <col min="4866" max="4866" width="30.81640625" style="2" bestFit="1" customWidth="1"/>
    <col min="4867" max="4867" width="0" style="2" hidden="1" customWidth="1"/>
    <col min="4868" max="4868" width="40.1796875" style="2" customWidth="1"/>
    <col min="4869" max="4869" width="31.6328125" style="2" customWidth="1"/>
    <col min="4870" max="4871" width="0" style="2" hidden="1" customWidth="1"/>
    <col min="4872" max="4872" width="15.36328125" style="2" customWidth="1"/>
    <col min="4873" max="4873" width="16" style="2" customWidth="1"/>
    <col min="4874" max="4875" width="16.1796875" style="2" customWidth="1"/>
    <col min="4876" max="4876" width="18.453125" style="2" bestFit="1" customWidth="1"/>
    <col min="4877" max="4878" width="18.453125" style="2" customWidth="1"/>
    <col min="4879" max="4879" width="16.453125" style="2" customWidth="1"/>
    <col min="4880" max="4880" width="12.90625" style="2" customWidth="1"/>
    <col min="4881" max="4881" width="18.26953125" style="2" bestFit="1" customWidth="1"/>
    <col min="4882" max="4882" width="27.90625" style="2" customWidth="1"/>
    <col min="4883" max="4883" width="19.36328125" style="2" bestFit="1" customWidth="1"/>
    <col min="4884" max="4884" width="19.90625" style="2" customWidth="1"/>
    <col min="4885" max="4885" width="13.453125" style="2" bestFit="1" customWidth="1"/>
    <col min="4886" max="5118" width="8.81640625" style="2"/>
    <col min="5119" max="5119" width="8.54296875" style="2" bestFit="1" customWidth="1"/>
    <col min="5120" max="5120" width="12.453125" style="2" bestFit="1" customWidth="1"/>
    <col min="5121" max="5121" width="8.54296875" style="2" customWidth="1"/>
    <col min="5122" max="5122" width="30.81640625" style="2" bestFit="1" customWidth="1"/>
    <col min="5123" max="5123" width="0" style="2" hidden="1" customWidth="1"/>
    <col min="5124" max="5124" width="40.1796875" style="2" customWidth="1"/>
    <col min="5125" max="5125" width="31.6328125" style="2" customWidth="1"/>
    <col min="5126" max="5127" width="0" style="2" hidden="1" customWidth="1"/>
    <col min="5128" max="5128" width="15.36328125" style="2" customWidth="1"/>
    <col min="5129" max="5129" width="16" style="2" customWidth="1"/>
    <col min="5130" max="5131" width="16.1796875" style="2" customWidth="1"/>
    <col min="5132" max="5132" width="18.453125" style="2" bestFit="1" customWidth="1"/>
    <col min="5133" max="5134" width="18.453125" style="2" customWidth="1"/>
    <col min="5135" max="5135" width="16.453125" style="2" customWidth="1"/>
    <col min="5136" max="5136" width="12.90625" style="2" customWidth="1"/>
    <col min="5137" max="5137" width="18.26953125" style="2" bestFit="1" customWidth="1"/>
    <col min="5138" max="5138" width="27.90625" style="2" customWidth="1"/>
    <col min="5139" max="5139" width="19.36328125" style="2" bestFit="1" customWidth="1"/>
    <col min="5140" max="5140" width="19.90625" style="2" customWidth="1"/>
    <col min="5141" max="5141" width="13.453125" style="2" bestFit="1" customWidth="1"/>
    <col min="5142" max="5374" width="8.81640625" style="2"/>
    <col min="5375" max="5375" width="8.54296875" style="2" bestFit="1" customWidth="1"/>
    <col min="5376" max="5376" width="12.453125" style="2" bestFit="1" customWidth="1"/>
    <col min="5377" max="5377" width="8.54296875" style="2" customWidth="1"/>
    <col min="5378" max="5378" width="30.81640625" style="2" bestFit="1" customWidth="1"/>
    <col min="5379" max="5379" width="0" style="2" hidden="1" customWidth="1"/>
    <col min="5380" max="5380" width="40.1796875" style="2" customWidth="1"/>
    <col min="5381" max="5381" width="31.6328125" style="2" customWidth="1"/>
    <col min="5382" max="5383" width="0" style="2" hidden="1" customWidth="1"/>
    <col min="5384" max="5384" width="15.36328125" style="2" customWidth="1"/>
    <col min="5385" max="5385" width="16" style="2" customWidth="1"/>
    <col min="5386" max="5387" width="16.1796875" style="2" customWidth="1"/>
    <col min="5388" max="5388" width="18.453125" style="2" bestFit="1" customWidth="1"/>
    <col min="5389" max="5390" width="18.453125" style="2" customWidth="1"/>
    <col min="5391" max="5391" width="16.453125" style="2" customWidth="1"/>
    <col min="5392" max="5392" width="12.90625" style="2" customWidth="1"/>
    <col min="5393" max="5393" width="18.26953125" style="2" bestFit="1" customWidth="1"/>
    <col min="5394" max="5394" width="27.90625" style="2" customWidth="1"/>
    <col min="5395" max="5395" width="19.36328125" style="2" bestFit="1" customWidth="1"/>
    <col min="5396" max="5396" width="19.90625" style="2" customWidth="1"/>
    <col min="5397" max="5397" width="13.453125" style="2" bestFit="1" customWidth="1"/>
    <col min="5398" max="5630" width="8.81640625" style="2"/>
    <col min="5631" max="5631" width="8.54296875" style="2" bestFit="1" customWidth="1"/>
    <col min="5632" max="5632" width="12.453125" style="2" bestFit="1" customWidth="1"/>
    <col min="5633" max="5633" width="8.54296875" style="2" customWidth="1"/>
    <col min="5634" max="5634" width="30.81640625" style="2" bestFit="1" customWidth="1"/>
    <col min="5635" max="5635" width="0" style="2" hidden="1" customWidth="1"/>
    <col min="5636" max="5636" width="40.1796875" style="2" customWidth="1"/>
    <col min="5637" max="5637" width="31.6328125" style="2" customWidth="1"/>
    <col min="5638" max="5639" width="0" style="2" hidden="1" customWidth="1"/>
    <col min="5640" max="5640" width="15.36328125" style="2" customWidth="1"/>
    <col min="5641" max="5641" width="16" style="2" customWidth="1"/>
    <col min="5642" max="5643" width="16.1796875" style="2" customWidth="1"/>
    <col min="5644" max="5644" width="18.453125" style="2" bestFit="1" customWidth="1"/>
    <col min="5645" max="5646" width="18.453125" style="2" customWidth="1"/>
    <col min="5647" max="5647" width="16.453125" style="2" customWidth="1"/>
    <col min="5648" max="5648" width="12.90625" style="2" customWidth="1"/>
    <col min="5649" max="5649" width="18.26953125" style="2" bestFit="1" customWidth="1"/>
    <col min="5650" max="5650" width="27.90625" style="2" customWidth="1"/>
    <col min="5651" max="5651" width="19.36328125" style="2" bestFit="1" customWidth="1"/>
    <col min="5652" max="5652" width="19.90625" style="2" customWidth="1"/>
    <col min="5653" max="5653" width="13.453125" style="2" bestFit="1" customWidth="1"/>
    <col min="5654" max="5886" width="8.81640625" style="2"/>
    <col min="5887" max="5887" width="8.54296875" style="2" bestFit="1" customWidth="1"/>
    <col min="5888" max="5888" width="12.453125" style="2" bestFit="1" customWidth="1"/>
    <col min="5889" max="5889" width="8.54296875" style="2" customWidth="1"/>
    <col min="5890" max="5890" width="30.81640625" style="2" bestFit="1" customWidth="1"/>
    <col min="5891" max="5891" width="0" style="2" hidden="1" customWidth="1"/>
    <col min="5892" max="5892" width="40.1796875" style="2" customWidth="1"/>
    <col min="5893" max="5893" width="31.6328125" style="2" customWidth="1"/>
    <col min="5894" max="5895" width="0" style="2" hidden="1" customWidth="1"/>
    <col min="5896" max="5896" width="15.36328125" style="2" customWidth="1"/>
    <col min="5897" max="5897" width="16" style="2" customWidth="1"/>
    <col min="5898" max="5899" width="16.1796875" style="2" customWidth="1"/>
    <col min="5900" max="5900" width="18.453125" style="2" bestFit="1" customWidth="1"/>
    <col min="5901" max="5902" width="18.453125" style="2" customWidth="1"/>
    <col min="5903" max="5903" width="16.453125" style="2" customWidth="1"/>
    <col min="5904" max="5904" width="12.90625" style="2" customWidth="1"/>
    <col min="5905" max="5905" width="18.26953125" style="2" bestFit="1" customWidth="1"/>
    <col min="5906" max="5906" width="27.90625" style="2" customWidth="1"/>
    <col min="5907" max="5907" width="19.36328125" style="2" bestFit="1" customWidth="1"/>
    <col min="5908" max="5908" width="19.90625" style="2" customWidth="1"/>
    <col min="5909" max="5909" width="13.453125" style="2" bestFit="1" customWidth="1"/>
    <col min="5910" max="6142" width="8.81640625" style="2"/>
    <col min="6143" max="6143" width="8.54296875" style="2" bestFit="1" customWidth="1"/>
    <col min="6144" max="6144" width="12.453125" style="2" bestFit="1" customWidth="1"/>
    <col min="6145" max="6145" width="8.54296875" style="2" customWidth="1"/>
    <col min="6146" max="6146" width="30.81640625" style="2" bestFit="1" customWidth="1"/>
    <col min="6147" max="6147" width="0" style="2" hidden="1" customWidth="1"/>
    <col min="6148" max="6148" width="40.1796875" style="2" customWidth="1"/>
    <col min="6149" max="6149" width="31.6328125" style="2" customWidth="1"/>
    <col min="6150" max="6151" width="0" style="2" hidden="1" customWidth="1"/>
    <col min="6152" max="6152" width="15.36328125" style="2" customWidth="1"/>
    <col min="6153" max="6153" width="16" style="2" customWidth="1"/>
    <col min="6154" max="6155" width="16.1796875" style="2" customWidth="1"/>
    <col min="6156" max="6156" width="18.453125" style="2" bestFit="1" customWidth="1"/>
    <col min="6157" max="6158" width="18.453125" style="2" customWidth="1"/>
    <col min="6159" max="6159" width="16.453125" style="2" customWidth="1"/>
    <col min="6160" max="6160" width="12.90625" style="2" customWidth="1"/>
    <col min="6161" max="6161" width="18.26953125" style="2" bestFit="1" customWidth="1"/>
    <col min="6162" max="6162" width="27.90625" style="2" customWidth="1"/>
    <col min="6163" max="6163" width="19.36328125" style="2" bestFit="1" customWidth="1"/>
    <col min="6164" max="6164" width="19.90625" style="2" customWidth="1"/>
    <col min="6165" max="6165" width="13.453125" style="2" bestFit="1" customWidth="1"/>
    <col min="6166" max="6398" width="8.81640625" style="2"/>
    <col min="6399" max="6399" width="8.54296875" style="2" bestFit="1" customWidth="1"/>
    <col min="6400" max="6400" width="12.453125" style="2" bestFit="1" customWidth="1"/>
    <col min="6401" max="6401" width="8.54296875" style="2" customWidth="1"/>
    <col min="6402" max="6402" width="30.81640625" style="2" bestFit="1" customWidth="1"/>
    <col min="6403" max="6403" width="0" style="2" hidden="1" customWidth="1"/>
    <col min="6404" max="6404" width="40.1796875" style="2" customWidth="1"/>
    <col min="6405" max="6405" width="31.6328125" style="2" customWidth="1"/>
    <col min="6406" max="6407" width="0" style="2" hidden="1" customWidth="1"/>
    <col min="6408" max="6408" width="15.36328125" style="2" customWidth="1"/>
    <col min="6409" max="6409" width="16" style="2" customWidth="1"/>
    <col min="6410" max="6411" width="16.1796875" style="2" customWidth="1"/>
    <col min="6412" max="6412" width="18.453125" style="2" bestFit="1" customWidth="1"/>
    <col min="6413" max="6414" width="18.453125" style="2" customWidth="1"/>
    <col min="6415" max="6415" width="16.453125" style="2" customWidth="1"/>
    <col min="6416" max="6416" width="12.90625" style="2" customWidth="1"/>
    <col min="6417" max="6417" width="18.26953125" style="2" bestFit="1" customWidth="1"/>
    <col min="6418" max="6418" width="27.90625" style="2" customWidth="1"/>
    <col min="6419" max="6419" width="19.36328125" style="2" bestFit="1" customWidth="1"/>
    <col min="6420" max="6420" width="19.90625" style="2" customWidth="1"/>
    <col min="6421" max="6421" width="13.453125" style="2" bestFit="1" customWidth="1"/>
    <col min="6422" max="6654" width="8.81640625" style="2"/>
    <col min="6655" max="6655" width="8.54296875" style="2" bestFit="1" customWidth="1"/>
    <col min="6656" max="6656" width="12.453125" style="2" bestFit="1" customWidth="1"/>
    <col min="6657" max="6657" width="8.54296875" style="2" customWidth="1"/>
    <col min="6658" max="6658" width="30.81640625" style="2" bestFit="1" customWidth="1"/>
    <col min="6659" max="6659" width="0" style="2" hidden="1" customWidth="1"/>
    <col min="6660" max="6660" width="40.1796875" style="2" customWidth="1"/>
    <col min="6661" max="6661" width="31.6328125" style="2" customWidth="1"/>
    <col min="6662" max="6663" width="0" style="2" hidden="1" customWidth="1"/>
    <col min="6664" max="6664" width="15.36328125" style="2" customWidth="1"/>
    <col min="6665" max="6665" width="16" style="2" customWidth="1"/>
    <col min="6666" max="6667" width="16.1796875" style="2" customWidth="1"/>
    <col min="6668" max="6668" width="18.453125" style="2" bestFit="1" customWidth="1"/>
    <col min="6669" max="6670" width="18.453125" style="2" customWidth="1"/>
    <col min="6671" max="6671" width="16.453125" style="2" customWidth="1"/>
    <col min="6672" max="6672" width="12.90625" style="2" customWidth="1"/>
    <col min="6673" max="6673" width="18.26953125" style="2" bestFit="1" customWidth="1"/>
    <col min="6674" max="6674" width="27.90625" style="2" customWidth="1"/>
    <col min="6675" max="6675" width="19.36328125" style="2" bestFit="1" customWidth="1"/>
    <col min="6676" max="6676" width="19.90625" style="2" customWidth="1"/>
    <col min="6677" max="6677" width="13.453125" style="2" bestFit="1" customWidth="1"/>
    <col min="6678" max="6910" width="8.81640625" style="2"/>
    <col min="6911" max="6911" width="8.54296875" style="2" bestFit="1" customWidth="1"/>
    <col min="6912" max="6912" width="12.453125" style="2" bestFit="1" customWidth="1"/>
    <col min="6913" max="6913" width="8.54296875" style="2" customWidth="1"/>
    <col min="6914" max="6914" width="30.81640625" style="2" bestFit="1" customWidth="1"/>
    <col min="6915" max="6915" width="0" style="2" hidden="1" customWidth="1"/>
    <col min="6916" max="6916" width="40.1796875" style="2" customWidth="1"/>
    <col min="6917" max="6917" width="31.6328125" style="2" customWidth="1"/>
    <col min="6918" max="6919" width="0" style="2" hidden="1" customWidth="1"/>
    <col min="6920" max="6920" width="15.36328125" style="2" customWidth="1"/>
    <col min="6921" max="6921" width="16" style="2" customWidth="1"/>
    <col min="6922" max="6923" width="16.1796875" style="2" customWidth="1"/>
    <col min="6924" max="6924" width="18.453125" style="2" bestFit="1" customWidth="1"/>
    <col min="6925" max="6926" width="18.453125" style="2" customWidth="1"/>
    <col min="6927" max="6927" width="16.453125" style="2" customWidth="1"/>
    <col min="6928" max="6928" width="12.90625" style="2" customWidth="1"/>
    <col min="6929" max="6929" width="18.26953125" style="2" bestFit="1" customWidth="1"/>
    <col min="6930" max="6930" width="27.90625" style="2" customWidth="1"/>
    <col min="6931" max="6931" width="19.36328125" style="2" bestFit="1" customWidth="1"/>
    <col min="6932" max="6932" width="19.90625" style="2" customWidth="1"/>
    <col min="6933" max="6933" width="13.453125" style="2" bestFit="1" customWidth="1"/>
    <col min="6934" max="7166" width="8.81640625" style="2"/>
    <col min="7167" max="7167" width="8.54296875" style="2" bestFit="1" customWidth="1"/>
    <col min="7168" max="7168" width="12.453125" style="2" bestFit="1" customWidth="1"/>
    <col min="7169" max="7169" width="8.54296875" style="2" customWidth="1"/>
    <col min="7170" max="7170" width="30.81640625" style="2" bestFit="1" customWidth="1"/>
    <col min="7171" max="7171" width="0" style="2" hidden="1" customWidth="1"/>
    <col min="7172" max="7172" width="40.1796875" style="2" customWidth="1"/>
    <col min="7173" max="7173" width="31.6328125" style="2" customWidth="1"/>
    <col min="7174" max="7175" width="0" style="2" hidden="1" customWidth="1"/>
    <col min="7176" max="7176" width="15.36328125" style="2" customWidth="1"/>
    <col min="7177" max="7177" width="16" style="2" customWidth="1"/>
    <col min="7178" max="7179" width="16.1796875" style="2" customWidth="1"/>
    <col min="7180" max="7180" width="18.453125" style="2" bestFit="1" customWidth="1"/>
    <col min="7181" max="7182" width="18.453125" style="2" customWidth="1"/>
    <col min="7183" max="7183" width="16.453125" style="2" customWidth="1"/>
    <col min="7184" max="7184" width="12.90625" style="2" customWidth="1"/>
    <col min="7185" max="7185" width="18.26953125" style="2" bestFit="1" customWidth="1"/>
    <col min="7186" max="7186" width="27.90625" style="2" customWidth="1"/>
    <col min="7187" max="7187" width="19.36328125" style="2" bestFit="1" customWidth="1"/>
    <col min="7188" max="7188" width="19.90625" style="2" customWidth="1"/>
    <col min="7189" max="7189" width="13.453125" style="2" bestFit="1" customWidth="1"/>
    <col min="7190" max="7422" width="8.81640625" style="2"/>
    <col min="7423" max="7423" width="8.54296875" style="2" bestFit="1" customWidth="1"/>
    <col min="7424" max="7424" width="12.453125" style="2" bestFit="1" customWidth="1"/>
    <col min="7425" max="7425" width="8.54296875" style="2" customWidth="1"/>
    <col min="7426" max="7426" width="30.81640625" style="2" bestFit="1" customWidth="1"/>
    <col min="7427" max="7427" width="0" style="2" hidden="1" customWidth="1"/>
    <col min="7428" max="7428" width="40.1796875" style="2" customWidth="1"/>
    <col min="7429" max="7429" width="31.6328125" style="2" customWidth="1"/>
    <col min="7430" max="7431" width="0" style="2" hidden="1" customWidth="1"/>
    <col min="7432" max="7432" width="15.36328125" style="2" customWidth="1"/>
    <col min="7433" max="7433" width="16" style="2" customWidth="1"/>
    <col min="7434" max="7435" width="16.1796875" style="2" customWidth="1"/>
    <col min="7436" max="7436" width="18.453125" style="2" bestFit="1" customWidth="1"/>
    <col min="7437" max="7438" width="18.453125" style="2" customWidth="1"/>
    <col min="7439" max="7439" width="16.453125" style="2" customWidth="1"/>
    <col min="7440" max="7440" width="12.90625" style="2" customWidth="1"/>
    <col min="7441" max="7441" width="18.26953125" style="2" bestFit="1" customWidth="1"/>
    <col min="7442" max="7442" width="27.90625" style="2" customWidth="1"/>
    <col min="7443" max="7443" width="19.36328125" style="2" bestFit="1" customWidth="1"/>
    <col min="7444" max="7444" width="19.90625" style="2" customWidth="1"/>
    <col min="7445" max="7445" width="13.453125" style="2" bestFit="1" customWidth="1"/>
    <col min="7446" max="7678" width="8.81640625" style="2"/>
    <col min="7679" max="7679" width="8.54296875" style="2" bestFit="1" customWidth="1"/>
    <col min="7680" max="7680" width="12.453125" style="2" bestFit="1" customWidth="1"/>
    <col min="7681" max="7681" width="8.54296875" style="2" customWidth="1"/>
    <col min="7682" max="7682" width="30.81640625" style="2" bestFit="1" customWidth="1"/>
    <col min="7683" max="7683" width="0" style="2" hidden="1" customWidth="1"/>
    <col min="7684" max="7684" width="40.1796875" style="2" customWidth="1"/>
    <col min="7685" max="7685" width="31.6328125" style="2" customWidth="1"/>
    <col min="7686" max="7687" width="0" style="2" hidden="1" customWidth="1"/>
    <col min="7688" max="7688" width="15.36328125" style="2" customWidth="1"/>
    <col min="7689" max="7689" width="16" style="2" customWidth="1"/>
    <col min="7690" max="7691" width="16.1796875" style="2" customWidth="1"/>
    <col min="7692" max="7692" width="18.453125" style="2" bestFit="1" customWidth="1"/>
    <col min="7693" max="7694" width="18.453125" style="2" customWidth="1"/>
    <col min="7695" max="7695" width="16.453125" style="2" customWidth="1"/>
    <col min="7696" max="7696" width="12.90625" style="2" customWidth="1"/>
    <col min="7697" max="7697" width="18.26953125" style="2" bestFit="1" customWidth="1"/>
    <col min="7698" max="7698" width="27.90625" style="2" customWidth="1"/>
    <col min="7699" max="7699" width="19.36328125" style="2" bestFit="1" customWidth="1"/>
    <col min="7700" max="7700" width="19.90625" style="2" customWidth="1"/>
    <col min="7701" max="7701" width="13.453125" style="2" bestFit="1" customWidth="1"/>
    <col min="7702" max="7934" width="8.81640625" style="2"/>
    <col min="7935" max="7935" width="8.54296875" style="2" bestFit="1" customWidth="1"/>
    <col min="7936" max="7936" width="12.453125" style="2" bestFit="1" customWidth="1"/>
    <col min="7937" max="7937" width="8.54296875" style="2" customWidth="1"/>
    <col min="7938" max="7938" width="30.81640625" style="2" bestFit="1" customWidth="1"/>
    <col min="7939" max="7939" width="0" style="2" hidden="1" customWidth="1"/>
    <col min="7940" max="7940" width="40.1796875" style="2" customWidth="1"/>
    <col min="7941" max="7941" width="31.6328125" style="2" customWidth="1"/>
    <col min="7942" max="7943" width="0" style="2" hidden="1" customWidth="1"/>
    <col min="7944" max="7944" width="15.36328125" style="2" customWidth="1"/>
    <col min="7945" max="7945" width="16" style="2" customWidth="1"/>
    <col min="7946" max="7947" width="16.1796875" style="2" customWidth="1"/>
    <col min="7948" max="7948" width="18.453125" style="2" bestFit="1" customWidth="1"/>
    <col min="7949" max="7950" width="18.453125" style="2" customWidth="1"/>
    <col min="7951" max="7951" width="16.453125" style="2" customWidth="1"/>
    <col min="7952" max="7952" width="12.90625" style="2" customWidth="1"/>
    <col min="7953" max="7953" width="18.26953125" style="2" bestFit="1" customWidth="1"/>
    <col min="7954" max="7954" width="27.90625" style="2" customWidth="1"/>
    <col min="7955" max="7955" width="19.36328125" style="2" bestFit="1" customWidth="1"/>
    <col min="7956" max="7956" width="19.90625" style="2" customWidth="1"/>
    <col min="7957" max="7957" width="13.453125" style="2" bestFit="1" customWidth="1"/>
    <col min="7958" max="8190" width="8.81640625" style="2"/>
    <col min="8191" max="8191" width="8.54296875" style="2" bestFit="1" customWidth="1"/>
    <col min="8192" max="8192" width="12.453125" style="2" bestFit="1" customWidth="1"/>
    <col min="8193" max="8193" width="8.54296875" style="2" customWidth="1"/>
    <col min="8194" max="8194" width="30.81640625" style="2" bestFit="1" customWidth="1"/>
    <col min="8195" max="8195" width="0" style="2" hidden="1" customWidth="1"/>
    <col min="8196" max="8196" width="40.1796875" style="2" customWidth="1"/>
    <col min="8197" max="8197" width="31.6328125" style="2" customWidth="1"/>
    <col min="8198" max="8199" width="0" style="2" hidden="1" customWidth="1"/>
    <col min="8200" max="8200" width="15.36328125" style="2" customWidth="1"/>
    <col min="8201" max="8201" width="16" style="2" customWidth="1"/>
    <col min="8202" max="8203" width="16.1796875" style="2" customWidth="1"/>
    <col min="8204" max="8204" width="18.453125" style="2" bestFit="1" customWidth="1"/>
    <col min="8205" max="8206" width="18.453125" style="2" customWidth="1"/>
    <col min="8207" max="8207" width="16.453125" style="2" customWidth="1"/>
    <col min="8208" max="8208" width="12.90625" style="2" customWidth="1"/>
    <col min="8209" max="8209" width="18.26953125" style="2" bestFit="1" customWidth="1"/>
    <col min="8210" max="8210" width="27.90625" style="2" customWidth="1"/>
    <col min="8211" max="8211" width="19.36328125" style="2" bestFit="1" customWidth="1"/>
    <col min="8212" max="8212" width="19.90625" style="2" customWidth="1"/>
    <col min="8213" max="8213" width="13.453125" style="2" bestFit="1" customWidth="1"/>
    <col min="8214" max="8446" width="8.81640625" style="2"/>
    <col min="8447" max="8447" width="8.54296875" style="2" bestFit="1" customWidth="1"/>
    <col min="8448" max="8448" width="12.453125" style="2" bestFit="1" customWidth="1"/>
    <col min="8449" max="8449" width="8.54296875" style="2" customWidth="1"/>
    <col min="8450" max="8450" width="30.81640625" style="2" bestFit="1" customWidth="1"/>
    <col min="8451" max="8451" width="0" style="2" hidden="1" customWidth="1"/>
    <col min="8452" max="8452" width="40.1796875" style="2" customWidth="1"/>
    <col min="8453" max="8453" width="31.6328125" style="2" customWidth="1"/>
    <col min="8454" max="8455" width="0" style="2" hidden="1" customWidth="1"/>
    <col min="8456" max="8456" width="15.36328125" style="2" customWidth="1"/>
    <col min="8457" max="8457" width="16" style="2" customWidth="1"/>
    <col min="8458" max="8459" width="16.1796875" style="2" customWidth="1"/>
    <col min="8460" max="8460" width="18.453125" style="2" bestFit="1" customWidth="1"/>
    <col min="8461" max="8462" width="18.453125" style="2" customWidth="1"/>
    <col min="8463" max="8463" width="16.453125" style="2" customWidth="1"/>
    <col min="8464" max="8464" width="12.90625" style="2" customWidth="1"/>
    <col min="8465" max="8465" width="18.26953125" style="2" bestFit="1" customWidth="1"/>
    <col min="8466" max="8466" width="27.90625" style="2" customWidth="1"/>
    <col min="8467" max="8467" width="19.36328125" style="2" bestFit="1" customWidth="1"/>
    <col min="8468" max="8468" width="19.90625" style="2" customWidth="1"/>
    <col min="8469" max="8469" width="13.453125" style="2" bestFit="1" customWidth="1"/>
    <col min="8470" max="8702" width="8.81640625" style="2"/>
    <col min="8703" max="8703" width="8.54296875" style="2" bestFit="1" customWidth="1"/>
    <col min="8704" max="8704" width="12.453125" style="2" bestFit="1" customWidth="1"/>
    <col min="8705" max="8705" width="8.54296875" style="2" customWidth="1"/>
    <col min="8706" max="8706" width="30.81640625" style="2" bestFit="1" customWidth="1"/>
    <col min="8707" max="8707" width="0" style="2" hidden="1" customWidth="1"/>
    <col min="8708" max="8708" width="40.1796875" style="2" customWidth="1"/>
    <col min="8709" max="8709" width="31.6328125" style="2" customWidth="1"/>
    <col min="8710" max="8711" width="0" style="2" hidden="1" customWidth="1"/>
    <col min="8712" max="8712" width="15.36328125" style="2" customWidth="1"/>
    <col min="8713" max="8713" width="16" style="2" customWidth="1"/>
    <col min="8714" max="8715" width="16.1796875" style="2" customWidth="1"/>
    <col min="8716" max="8716" width="18.453125" style="2" bestFit="1" customWidth="1"/>
    <col min="8717" max="8718" width="18.453125" style="2" customWidth="1"/>
    <col min="8719" max="8719" width="16.453125" style="2" customWidth="1"/>
    <col min="8720" max="8720" width="12.90625" style="2" customWidth="1"/>
    <col min="8721" max="8721" width="18.26953125" style="2" bestFit="1" customWidth="1"/>
    <col min="8722" max="8722" width="27.90625" style="2" customWidth="1"/>
    <col min="8723" max="8723" width="19.36328125" style="2" bestFit="1" customWidth="1"/>
    <col min="8724" max="8724" width="19.90625" style="2" customWidth="1"/>
    <col min="8725" max="8725" width="13.453125" style="2" bestFit="1" customWidth="1"/>
    <col min="8726" max="8958" width="8.81640625" style="2"/>
    <col min="8959" max="8959" width="8.54296875" style="2" bestFit="1" customWidth="1"/>
    <col min="8960" max="8960" width="12.453125" style="2" bestFit="1" customWidth="1"/>
    <col min="8961" max="8961" width="8.54296875" style="2" customWidth="1"/>
    <col min="8962" max="8962" width="30.81640625" style="2" bestFit="1" customWidth="1"/>
    <col min="8963" max="8963" width="0" style="2" hidden="1" customWidth="1"/>
    <col min="8964" max="8964" width="40.1796875" style="2" customWidth="1"/>
    <col min="8965" max="8965" width="31.6328125" style="2" customWidth="1"/>
    <col min="8966" max="8967" width="0" style="2" hidden="1" customWidth="1"/>
    <col min="8968" max="8968" width="15.36328125" style="2" customWidth="1"/>
    <col min="8969" max="8969" width="16" style="2" customWidth="1"/>
    <col min="8970" max="8971" width="16.1796875" style="2" customWidth="1"/>
    <col min="8972" max="8972" width="18.453125" style="2" bestFit="1" customWidth="1"/>
    <col min="8973" max="8974" width="18.453125" style="2" customWidth="1"/>
    <col min="8975" max="8975" width="16.453125" style="2" customWidth="1"/>
    <col min="8976" max="8976" width="12.90625" style="2" customWidth="1"/>
    <col min="8977" max="8977" width="18.26953125" style="2" bestFit="1" customWidth="1"/>
    <col min="8978" max="8978" width="27.90625" style="2" customWidth="1"/>
    <col min="8979" max="8979" width="19.36328125" style="2" bestFit="1" customWidth="1"/>
    <col min="8980" max="8980" width="19.90625" style="2" customWidth="1"/>
    <col min="8981" max="8981" width="13.453125" style="2" bestFit="1" customWidth="1"/>
    <col min="8982" max="9214" width="8.81640625" style="2"/>
    <col min="9215" max="9215" width="8.54296875" style="2" bestFit="1" customWidth="1"/>
    <col min="9216" max="9216" width="12.453125" style="2" bestFit="1" customWidth="1"/>
    <col min="9217" max="9217" width="8.54296875" style="2" customWidth="1"/>
    <col min="9218" max="9218" width="30.81640625" style="2" bestFit="1" customWidth="1"/>
    <col min="9219" max="9219" width="0" style="2" hidden="1" customWidth="1"/>
    <col min="9220" max="9220" width="40.1796875" style="2" customWidth="1"/>
    <col min="9221" max="9221" width="31.6328125" style="2" customWidth="1"/>
    <col min="9222" max="9223" width="0" style="2" hidden="1" customWidth="1"/>
    <col min="9224" max="9224" width="15.36328125" style="2" customWidth="1"/>
    <col min="9225" max="9225" width="16" style="2" customWidth="1"/>
    <col min="9226" max="9227" width="16.1796875" style="2" customWidth="1"/>
    <col min="9228" max="9228" width="18.453125" style="2" bestFit="1" customWidth="1"/>
    <col min="9229" max="9230" width="18.453125" style="2" customWidth="1"/>
    <col min="9231" max="9231" width="16.453125" style="2" customWidth="1"/>
    <col min="9232" max="9232" width="12.90625" style="2" customWidth="1"/>
    <col min="9233" max="9233" width="18.26953125" style="2" bestFit="1" customWidth="1"/>
    <col min="9234" max="9234" width="27.90625" style="2" customWidth="1"/>
    <col min="9235" max="9235" width="19.36328125" style="2" bestFit="1" customWidth="1"/>
    <col min="9236" max="9236" width="19.90625" style="2" customWidth="1"/>
    <col min="9237" max="9237" width="13.453125" style="2" bestFit="1" customWidth="1"/>
    <col min="9238" max="9470" width="8.81640625" style="2"/>
    <col min="9471" max="9471" width="8.54296875" style="2" bestFit="1" customWidth="1"/>
    <col min="9472" max="9472" width="12.453125" style="2" bestFit="1" customWidth="1"/>
    <col min="9473" max="9473" width="8.54296875" style="2" customWidth="1"/>
    <col min="9474" max="9474" width="30.81640625" style="2" bestFit="1" customWidth="1"/>
    <col min="9475" max="9475" width="0" style="2" hidden="1" customWidth="1"/>
    <col min="9476" max="9476" width="40.1796875" style="2" customWidth="1"/>
    <col min="9477" max="9477" width="31.6328125" style="2" customWidth="1"/>
    <col min="9478" max="9479" width="0" style="2" hidden="1" customWidth="1"/>
    <col min="9480" max="9480" width="15.36328125" style="2" customWidth="1"/>
    <col min="9481" max="9481" width="16" style="2" customWidth="1"/>
    <col min="9482" max="9483" width="16.1796875" style="2" customWidth="1"/>
    <col min="9484" max="9484" width="18.453125" style="2" bestFit="1" customWidth="1"/>
    <col min="9485" max="9486" width="18.453125" style="2" customWidth="1"/>
    <col min="9487" max="9487" width="16.453125" style="2" customWidth="1"/>
    <col min="9488" max="9488" width="12.90625" style="2" customWidth="1"/>
    <col min="9489" max="9489" width="18.26953125" style="2" bestFit="1" customWidth="1"/>
    <col min="9490" max="9490" width="27.90625" style="2" customWidth="1"/>
    <col min="9491" max="9491" width="19.36328125" style="2" bestFit="1" customWidth="1"/>
    <col min="9492" max="9492" width="19.90625" style="2" customWidth="1"/>
    <col min="9493" max="9493" width="13.453125" style="2" bestFit="1" customWidth="1"/>
    <col min="9494" max="9726" width="8.81640625" style="2"/>
    <col min="9727" max="9727" width="8.54296875" style="2" bestFit="1" customWidth="1"/>
    <col min="9728" max="9728" width="12.453125" style="2" bestFit="1" customWidth="1"/>
    <col min="9729" max="9729" width="8.54296875" style="2" customWidth="1"/>
    <col min="9730" max="9730" width="30.81640625" style="2" bestFit="1" customWidth="1"/>
    <col min="9731" max="9731" width="0" style="2" hidden="1" customWidth="1"/>
    <col min="9732" max="9732" width="40.1796875" style="2" customWidth="1"/>
    <col min="9733" max="9733" width="31.6328125" style="2" customWidth="1"/>
    <col min="9734" max="9735" width="0" style="2" hidden="1" customWidth="1"/>
    <col min="9736" max="9736" width="15.36328125" style="2" customWidth="1"/>
    <col min="9737" max="9737" width="16" style="2" customWidth="1"/>
    <col min="9738" max="9739" width="16.1796875" style="2" customWidth="1"/>
    <col min="9740" max="9740" width="18.453125" style="2" bestFit="1" customWidth="1"/>
    <col min="9741" max="9742" width="18.453125" style="2" customWidth="1"/>
    <col min="9743" max="9743" width="16.453125" style="2" customWidth="1"/>
    <col min="9744" max="9744" width="12.90625" style="2" customWidth="1"/>
    <col min="9745" max="9745" width="18.26953125" style="2" bestFit="1" customWidth="1"/>
    <col min="9746" max="9746" width="27.90625" style="2" customWidth="1"/>
    <col min="9747" max="9747" width="19.36328125" style="2" bestFit="1" customWidth="1"/>
    <col min="9748" max="9748" width="19.90625" style="2" customWidth="1"/>
    <col min="9749" max="9749" width="13.453125" style="2" bestFit="1" customWidth="1"/>
    <col min="9750" max="9982" width="8.81640625" style="2"/>
    <col min="9983" max="9983" width="8.54296875" style="2" bestFit="1" customWidth="1"/>
    <col min="9984" max="9984" width="12.453125" style="2" bestFit="1" customWidth="1"/>
    <col min="9985" max="9985" width="8.54296875" style="2" customWidth="1"/>
    <col min="9986" max="9986" width="30.81640625" style="2" bestFit="1" customWidth="1"/>
    <col min="9987" max="9987" width="0" style="2" hidden="1" customWidth="1"/>
    <col min="9988" max="9988" width="40.1796875" style="2" customWidth="1"/>
    <col min="9989" max="9989" width="31.6328125" style="2" customWidth="1"/>
    <col min="9990" max="9991" width="0" style="2" hidden="1" customWidth="1"/>
    <col min="9992" max="9992" width="15.36328125" style="2" customWidth="1"/>
    <col min="9993" max="9993" width="16" style="2" customWidth="1"/>
    <col min="9994" max="9995" width="16.1796875" style="2" customWidth="1"/>
    <col min="9996" max="9996" width="18.453125" style="2" bestFit="1" customWidth="1"/>
    <col min="9997" max="9998" width="18.453125" style="2" customWidth="1"/>
    <col min="9999" max="9999" width="16.453125" style="2" customWidth="1"/>
    <col min="10000" max="10000" width="12.90625" style="2" customWidth="1"/>
    <col min="10001" max="10001" width="18.26953125" style="2" bestFit="1" customWidth="1"/>
    <col min="10002" max="10002" width="27.90625" style="2" customWidth="1"/>
    <col min="10003" max="10003" width="19.36328125" style="2" bestFit="1" customWidth="1"/>
    <col min="10004" max="10004" width="19.90625" style="2" customWidth="1"/>
    <col min="10005" max="10005" width="13.453125" style="2" bestFit="1" customWidth="1"/>
    <col min="10006" max="10238" width="8.81640625" style="2"/>
    <col min="10239" max="10239" width="8.54296875" style="2" bestFit="1" customWidth="1"/>
    <col min="10240" max="10240" width="12.453125" style="2" bestFit="1" customWidth="1"/>
    <col min="10241" max="10241" width="8.54296875" style="2" customWidth="1"/>
    <col min="10242" max="10242" width="30.81640625" style="2" bestFit="1" customWidth="1"/>
    <col min="10243" max="10243" width="0" style="2" hidden="1" customWidth="1"/>
    <col min="10244" max="10244" width="40.1796875" style="2" customWidth="1"/>
    <col min="10245" max="10245" width="31.6328125" style="2" customWidth="1"/>
    <col min="10246" max="10247" width="0" style="2" hidden="1" customWidth="1"/>
    <col min="10248" max="10248" width="15.36328125" style="2" customWidth="1"/>
    <col min="10249" max="10249" width="16" style="2" customWidth="1"/>
    <col min="10250" max="10251" width="16.1796875" style="2" customWidth="1"/>
    <col min="10252" max="10252" width="18.453125" style="2" bestFit="1" customWidth="1"/>
    <col min="10253" max="10254" width="18.453125" style="2" customWidth="1"/>
    <col min="10255" max="10255" width="16.453125" style="2" customWidth="1"/>
    <col min="10256" max="10256" width="12.90625" style="2" customWidth="1"/>
    <col min="10257" max="10257" width="18.26953125" style="2" bestFit="1" customWidth="1"/>
    <col min="10258" max="10258" width="27.90625" style="2" customWidth="1"/>
    <col min="10259" max="10259" width="19.36328125" style="2" bestFit="1" customWidth="1"/>
    <col min="10260" max="10260" width="19.90625" style="2" customWidth="1"/>
    <col min="10261" max="10261" width="13.453125" style="2" bestFit="1" customWidth="1"/>
    <col min="10262" max="10494" width="8.81640625" style="2"/>
    <col min="10495" max="10495" width="8.54296875" style="2" bestFit="1" customWidth="1"/>
    <col min="10496" max="10496" width="12.453125" style="2" bestFit="1" customWidth="1"/>
    <col min="10497" max="10497" width="8.54296875" style="2" customWidth="1"/>
    <col min="10498" max="10498" width="30.81640625" style="2" bestFit="1" customWidth="1"/>
    <col min="10499" max="10499" width="0" style="2" hidden="1" customWidth="1"/>
    <col min="10500" max="10500" width="40.1796875" style="2" customWidth="1"/>
    <col min="10501" max="10501" width="31.6328125" style="2" customWidth="1"/>
    <col min="10502" max="10503" width="0" style="2" hidden="1" customWidth="1"/>
    <col min="10504" max="10504" width="15.36328125" style="2" customWidth="1"/>
    <col min="10505" max="10505" width="16" style="2" customWidth="1"/>
    <col min="10506" max="10507" width="16.1796875" style="2" customWidth="1"/>
    <col min="10508" max="10508" width="18.453125" style="2" bestFit="1" customWidth="1"/>
    <col min="10509" max="10510" width="18.453125" style="2" customWidth="1"/>
    <col min="10511" max="10511" width="16.453125" style="2" customWidth="1"/>
    <col min="10512" max="10512" width="12.90625" style="2" customWidth="1"/>
    <col min="10513" max="10513" width="18.26953125" style="2" bestFit="1" customWidth="1"/>
    <col min="10514" max="10514" width="27.90625" style="2" customWidth="1"/>
    <col min="10515" max="10515" width="19.36328125" style="2" bestFit="1" customWidth="1"/>
    <col min="10516" max="10516" width="19.90625" style="2" customWidth="1"/>
    <col min="10517" max="10517" width="13.453125" style="2" bestFit="1" customWidth="1"/>
    <col min="10518" max="10750" width="8.81640625" style="2"/>
    <col min="10751" max="10751" width="8.54296875" style="2" bestFit="1" customWidth="1"/>
    <col min="10752" max="10752" width="12.453125" style="2" bestFit="1" customWidth="1"/>
    <col min="10753" max="10753" width="8.54296875" style="2" customWidth="1"/>
    <col min="10754" max="10754" width="30.81640625" style="2" bestFit="1" customWidth="1"/>
    <col min="10755" max="10755" width="0" style="2" hidden="1" customWidth="1"/>
    <col min="10756" max="10756" width="40.1796875" style="2" customWidth="1"/>
    <col min="10757" max="10757" width="31.6328125" style="2" customWidth="1"/>
    <col min="10758" max="10759" width="0" style="2" hidden="1" customWidth="1"/>
    <col min="10760" max="10760" width="15.36328125" style="2" customWidth="1"/>
    <col min="10761" max="10761" width="16" style="2" customWidth="1"/>
    <col min="10762" max="10763" width="16.1796875" style="2" customWidth="1"/>
    <col min="10764" max="10764" width="18.453125" style="2" bestFit="1" customWidth="1"/>
    <col min="10765" max="10766" width="18.453125" style="2" customWidth="1"/>
    <col min="10767" max="10767" width="16.453125" style="2" customWidth="1"/>
    <col min="10768" max="10768" width="12.90625" style="2" customWidth="1"/>
    <col min="10769" max="10769" width="18.26953125" style="2" bestFit="1" customWidth="1"/>
    <col min="10770" max="10770" width="27.90625" style="2" customWidth="1"/>
    <col min="10771" max="10771" width="19.36328125" style="2" bestFit="1" customWidth="1"/>
    <col min="10772" max="10772" width="19.90625" style="2" customWidth="1"/>
    <col min="10773" max="10773" width="13.453125" style="2" bestFit="1" customWidth="1"/>
    <col min="10774" max="11006" width="8.81640625" style="2"/>
    <col min="11007" max="11007" width="8.54296875" style="2" bestFit="1" customWidth="1"/>
    <col min="11008" max="11008" width="12.453125" style="2" bestFit="1" customWidth="1"/>
    <col min="11009" max="11009" width="8.54296875" style="2" customWidth="1"/>
    <col min="11010" max="11010" width="30.81640625" style="2" bestFit="1" customWidth="1"/>
    <col min="11011" max="11011" width="0" style="2" hidden="1" customWidth="1"/>
    <col min="11012" max="11012" width="40.1796875" style="2" customWidth="1"/>
    <col min="11013" max="11013" width="31.6328125" style="2" customWidth="1"/>
    <col min="11014" max="11015" width="0" style="2" hidden="1" customWidth="1"/>
    <col min="11016" max="11016" width="15.36328125" style="2" customWidth="1"/>
    <col min="11017" max="11017" width="16" style="2" customWidth="1"/>
    <col min="11018" max="11019" width="16.1796875" style="2" customWidth="1"/>
    <col min="11020" max="11020" width="18.453125" style="2" bestFit="1" customWidth="1"/>
    <col min="11021" max="11022" width="18.453125" style="2" customWidth="1"/>
    <col min="11023" max="11023" width="16.453125" style="2" customWidth="1"/>
    <col min="11024" max="11024" width="12.90625" style="2" customWidth="1"/>
    <col min="11025" max="11025" width="18.26953125" style="2" bestFit="1" customWidth="1"/>
    <col min="11026" max="11026" width="27.90625" style="2" customWidth="1"/>
    <col min="11027" max="11027" width="19.36328125" style="2" bestFit="1" customWidth="1"/>
    <col min="11028" max="11028" width="19.90625" style="2" customWidth="1"/>
    <col min="11029" max="11029" width="13.453125" style="2" bestFit="1" customWidth="1"/>
    <col min="11030" max="11262" width="8.81640625" style="2"/>
    <col min="11263" max="11263" width="8.54296875" style="2" bestFit="1" customWidth="1"/>
    <col min="11264" max="11264" width="12.453125" style="2" bestFit="1" customWidth="1"/>
    <col min="11265" max="11265" width="8.54296875" style="2" customWidth="1"/>
    <col min="11266" max="11266" width="30.81640625" style="2" bestFit="1" customWidth="1"/>
    <col min="11267" max="11267" width="0" style="2" hidden="1" customWidth="1"/>
    <col min="11268" max="11268" width="40.1796875" style="2" customWidth="1"/>
    <col min="11269" max="11269" width="31.6328125" style="2" customWidth="1"/>
    <col min="11270" max="11271" width="0" style="2" hidden="1" customWidth="1"/>
    <col min="11272" max="11272" width="15.36328125" style="2" customWidth="1"/>
    <col min="11273" max="11273" width="16" style="2" customWidth="1"/>
    <col min="11274" max="11275" width="16.1796875" style="2" customWidth="1"/>
    <col min="11276" max="11276" width="18.453125" style="2" bestFit="1" customWidth="1"/>
    <col min="11277" max="11278" width="18.453125" style="2" customWidth="1"/>
    <col min="11279" max="11279" width="16.453125" style="2" customWidth="1"/>
    <col min="11280" max="11280" width="12.90625" style="2" customWidth="1"/>
    <col min="11281" max="11281" width="18.26953125" style="2" bestFit="1" customWidth="1"/>
    <col min="11282" max="11282" width="27.90625" style="2" customWidth="1"/>
    <col min="11283" max="11283" width="19.36328125" style="2" bestFit="1" customWidth="1"/>
    <col min="11284" max="11284" width="19.90625" style="2" customWidth="1"/>
    <col min="11285" max="11285" width="13.453125" style="2" bestFit="1" customWidth="1"/>
    <col min="11286" max="11518" width="8.81640625" style="2"/>
    <col min="11519" max="11519" width="8.54296875" style="2" bestFit="1" customWidth="1"/>
    <col min="11520" max="11520" width="12.453125" style="2" bestFit="1" customWidth="1"/>
    <col min="11521" max="11521" width="8.54296875" style="2" customWidth="1"/>
    <col min="11522" max="11522" width="30.81640625" style="2" bestFit="1" customWidth="1"/>
    <col min="11523" max="11523" width="0" style="2" hidden="1" customWidth="1"/>
    <col min="11524" max="11524" width="40.1796875" style="2" customWidth="1"/>
    <col min="11525" max="11525" width="31.6328125" style="2" customWidth="1"/>
    <col min="11526" max="11527" width="0" style="2" hidden="1" customWidth="1"/>
    <col min="11528" max="11528" width="15.36328125" style="2" customWidth="1"/>
    <col min="11529" max="11529" width="16" style="2" customWidth="1"/>
    <col min="11530" max="11531" width="16.1796875" style="2" customWidth="1"/>
    <col min="11532" max="11532" width="18.453125" style="2" bestFit="1" customWidth="1"/>
    <col min="11533" max="11534" width="18.453125" style="2" customWidth="1"/>
    <col min="11535" max="11535" width="16.453125" style="2" customWidth="1"/>
    <col min="11536" max="11536" width="12.90625" style="2" customWidth="1"/>
    <col min="11537" max="11537" width="18.26953125" style="2" bestFit="1" customWidth="1"/>
    <col min="11538" max="11538" width="27.90625" style="2" customWidth="1"/>
    <col min="11539" max="11539" width="19.36328125" style="2" bestFit="1" customWidth="1"/>
    <col min="11540" max="11540" width="19.90625" style="2" customWidth="1"/>
    <col min="11541" max="11541" width="13.453125" style="2" bestFit="1" customWidth="1"/>
    <col min="11542" max="11774" width="8.81640625" style="2"/>
    <col min="11775" max="11775" width="8.54296875" style="2" bestFit="1" customWidth="1"/>
    <col min="11776" max="11776" width="12.453125" style="2" bestFit="1" customWidth="1"/>
    <col min="11777" max="11777" width="8.54296875" style="2" customWidth="1"/>
    <col min="11778" max="11778" width="30.81640625" style="2" bestFit="1" customWidth="1"/>
    <col min="11779" max="11779" width="0" style="2" hidden="1" customWidth="1"/>
    <col min="11780" max="11780" width="40.1796875" style="2" customWidth="1"/>
    <col min="11781" max="11781" width="31.6328125" style="2" customWidth="1"/>
    <col min="11782" max="11783" width="0" style="2" hidden="1" customWidth="1"/>
    <col min="11784" max="11784" width="15.36328125" style="2" customWidth="1"/>
    <col min="11785" max="11785" width="16" style="2" customWidth="1"/>
    <col min="11786" max="11787" width="16.1796875" style="2" customWidth="1"/>
    <col min="11788" max="11788" width="18.453125" style="2" bestFit="1" customWidth="1"/>
    <col min="11789" max="11790" width="18.453125" style="2" customWidth="1"/>
    <col min="11791" max="11791" width="16.453125" style="2" customWidth="1"/>
    <col min="11792" max="11792" width="12.90625" style="2" customWidth="1"/>
    <col min="11793" max="11793" width="18.26953125" style="2" bestFit="1" customWidth="1"/>
    <col min="11794" max="11794" width="27.90625" style="2" customWidth="1"/>
    <col min="11795" max="11795" width="19.36328125" style="2" bestFit="1" customWidth="1"/>
    <col min="11796" max="11796" width="19.90625" style="2" customWidth="1"/>
    <col min="11797" max="11797" width="13.453125" style="2" bestFit="1" customWidth="1"/>
    <col min="11798" max="12030" width="8.81640625" style="2"/>
    <col min="12031" max="12031" width="8.54296875" style="2" bestFit="1" customWidth="1"/>
    <col min="12032" max="12032" width="12.453125" style="2" bestFit="1" customWidth="1"/>
    <col min="12033" max="12033" width="8.54296875" style="2" customWidth="1"/>
    <col min="12034" max="12034" width="30.81640625" style="2" bestFit="1" customWidth="1"/>
    <col min="12035" max="12035" width="0" style="2" hidden="1" customWidth="1"/>
    <col min="12036" max="12036" width="40.1796875" style="2" customWidth="1"/>
    <col min="12037" max="12037" width="31.6328125" style="2" customWidth="1"/>
    <col min="12038" max="12039" width="0" style="2" hidden="1" customWidth="1"/>
    <col min="12040" max="12040" width="15.36328125" style="2" customWidth="1"/>
    <col min="12041" max="12041" width="16" style="2" customWidth="1"/>
    <col min="12042" max="12043" width="16.1796875" style="2" customWidth="1"/>
    <col min="12044" max="12044" width="18.453125" style="2" bestFit="1" customWidth="1"/>
    <col min="12045" max="12046" width="18.453125" style="2" customWidth="1"/>
    <col min="12047" max="12047" width="16.453125" style="2" customWidth="1"/>
    <col min="12048" max="12048" width="12.90625" style="2" customWidth="1"/>
    <col min="12049" max="12049" width="18.26953125" style="2" bestFit="1" customWidth="1"/>
    <col min="12050" max="12050" width="27.90625" style="2" customWidth="1"/>
    <col min="12051" max="12051" width="19.36328125" style="2" bestFit="1" customWidth="1"/>
    <col min="12052" max="12052" width="19.90625" style="2" customWidth="1"/>
    <col min="12053" max="12053" width="13.453125" style="2" bestFit="1" customWidth="1"/>
    <col min="12054" max="12286" width="8.81640625" style="2"/>
    <col min="12287" max="12287" width="8.54296875" style="2" bestFit="1" customWidth="1"/>
    <col min="12288" max="12288" width="12.453125" style="2" bestFit="1" customWidth="1"/>
    <col min="12289" max="12289" width="8.54296875" style="2" customWidth="1"/>
    <col min="12290" max="12290" width="30.81640625" style="2" bestFit="1" customWidth="1"/>
    <col min="12291" max="12291" width="0" style="2" hidden="1" customWidth="1"/>
    <col min="12292" max="12292" width="40.1796875" style="2" customWidth="1"/>
    <col min="12293" max="12293" width="31.6328125" style="2" customWidth="1"/>
    <col min="12294" max="12295" width="0" style="2" hidden="1" customWidth="1"/>
    <col min="12296" max="12296" width="15.36328125" style="2" customWidth="1"/>
    <col min="12297" max="12297" width="16" style="2" customWidth="1"/>
    <col min="12298" max="12299" width="16.1796875" style="2" customWidth="1"/>
    <col min="12300" max="12300" width="18.453125" style="2" bestFit="1" customWidth="1"/>
    <col min="12301" max="12302" width="18.453125" style="2" customWidth="1"/>
    <col min="12303" max="12303" width="16.453125" style="2" customWidth="1"/>
    <col min="12304" max="12304" width="12.90625" style="2" customWidth="1"/>
    <col min="12305" max="12305" width="18.26953125" style="2" bestFit="1" customWidth="1"/>
    <col min="12306" max="12306" width="27.90625" style="2" customWidth="1"/>
    <col min="12307" max="12307" width="19.36328125" style="2" bestFit="1" customWidth="1"/>
    <col min="12308" max="12308" width="19.90625" style="2" customWidth="1"/>
    <col min="12309" max="12309" width="13.453125" style="2" bestFit="1" customWidth="1"/>
    <col min="12310" max="12542" width="8.81640625" style="2"/>
    <col min="12543" max="12543" width="8.54296875" style="2" bestFit="1" customWidth="1"/>
    <col min="12544" max="12544" width="12.453125" style="2" bestFit="1" customWidth="1"/>
    <col min="12545" max="12545" width="8.54296875" style="2" customWidth="1"/>
    <col min="12546" max="12546" width="30.81640625" style="2" bestFit="1" customWidth="1"/>
    <col min="12547" max="12547" width="0" style="2" hidden="1" customWidth="1"/>
    <col min="12548" max="12548" width="40.1796875" style="2" customWidth="1"/>
    <col min="12549" max="12549" width="31.6328125" style="2" customWidth="1"/>
    <col min="12550" max="12551" width="0" style="2" hidden="1" customWidth="1"/>
    <col min="12552" max="12552" width="15.36328125" style="2" customWidth="1"/>
    <col min="12553" max="12553" width="16" style="2" customWidth="1"/>
    <col min="12554" max="12555" width="16.1796875" style="2" customWidth="1"/>
    <col min="12556" max="12556" width="18.453125" style="2" bestFit="1" customWidth="1"/>
    <col min="12557" max="12558" width="18.453125" style="2" customWidth="1"/>
    <col min="12559" max="12559" width="16.453125" style="2" customWidth="1"/>
    <col min="12560" max="12560" width="12.90625" style="2" customWidth="1"/>
    <col min="12561" max="12561" width="18.26953125" style="2" bestFit="1" customWidth="1"/>
    <col min="12562" max="12562" width="27.90625" style="2" customWidth="1"/>
    <col min="12563" max="12563" width="19.36328125" style="2" bestFit="1" customWidth="1"/>
    <col min="12564" max="12564" width="19.90625" style="2" customWidth="1"/>
    <col min="12565" max="12565" width="13.453125" style="2" bestFit="1" customWidth="1"/>
    <col min="12566" max="12798" width="8.81640625" style="2"/>
    <col min="12799" max="12799" width="8.54296875" style="2" bestFit="1" customWidth="1"/>
    <col min="12800" max="12800" width="12.453125" style="2" bestFit="1" customWidth="1"/>
    <col min="12801" max="12801" width="8.54296875" style="2" customWidth="1"/>
    <col min="12802" max="12802" width="30.81640625" style="2" bestFit="1" customWidth="1"/>
    <col min="12803" max="12803" width="0" style="2" hidden="1" customWidth="1"/>
    <col min="12804" max="12804" width="40.1796875" style="2" customWidth="1"/>
    <col min="12805" max="12805" width="31.6328125" style="2" customWidth="1"/>
    <col min="12806" max="12807" width="0" style="2" hidden="1" customWidth="1"/>
    <col min="12808" max="12808" width="15.36328125" style="2" customWidth="1"/>
    <col min="12809" max="12809" width="16" style="2" customWidth="1"/>
    <col min="12810" max="12811" width="16.1796875" style="2" customWidth="1"/>
    <col min="12812" max="12812" width="18.453125" style="2" bestFit="1" customWidth="1"/>
    <col min="12813" max="12814" width="18.453125" style="2" customWidth="1"/>
    <col min="12815" max="12815" width="16.453125" style="2" customWidth="1"/>
    <col min="12816" max="12816" width="12.90625" style="2" customWidth="1"/>
    <col min="12817" max="12817" width="18.26953125" style="2" bestFit="1" customWidth="1"/>
    <col min="12818" max="12818" width="27.90625" style="2" customWidth="1"/>
    <col min="12819" max="12819" width="19.36328125" style="2" bestFit="1" customWidth="1"/>
    <col min="12820" max="12820" width="19.90625" style="2" customWidth="1"/>
    <col min="12821" max="12821" width="13.453125" style="2" bestFit="1" customWidth="1"/>
    <col min="12822" max="13054" width="8.81640625" style="2"/>
    <col min="13055" max="13055" width="8.54296875" style="2" bestFit="1" customWidth="1"/>
    <col min="13056" max="13056" width="12.453125" style="2" bestFit="1" customWidth="1"/>
    <col min="13057" max="13057" width="8.54296875" style="2" customWidth="1"/>
    <col min="13058" max="13058" width="30.81640625" style="2" bestFit="1" customWidth="1"/>
    <col min="13059" max="13059" width="0" style="2" hidden="1" customWidth="1"/>
    <col min="13060" max="13060" width="40.1796875" style="2" customWidth="1"/>
    <col min="13061" max="13061" width="31.6328125" style="2" customWidth="1"/>
    <col min="13062" max="13063" width="0" style="2" hidden="1" customWidth="1"/>
    <col min="13064" max="13064" width="15.36328125" style="2" customWidth="1"/>
    <col min="13065" max="13065" width="16" style="2" customWidth="1"/>
    <col min="13066" max="13067" width="16.1796875" style="2" customWidth="1"/>
    <col min="13068" max="13068" width="18.453125" style="2" bestFit="1" customWidth="1"/>
    <col min="13069" max="13070" width="18.453125" style="2" customWidth="1"/>
    <col min="13071" max="13071" width="16.453125" style="2" customWidth="1"/>
    <col min="13072" max="13072" width="12.90625" style="2" customWidth="1"/>
    <col min="13073" max="13073" width="18.26953125" style="2" bestFit="1" customWidth="1"/>
    <col min="13074" max="13074" width="27.90625" style="2" customWidth="1"/>
    <col min="13075" max="13075" width="19.36328125" style="2" bestFit="1" customWidth="1"/>
    <col min="13076" max="13076" width="19.90625" style="2" customWidth="1"/>
    <col min="13077" max="13077" width="13.453125" style="2" bestFit="1" customWidth="1"/>
    <col min="13078" max="13310" width="8.81640625" style="2"/>
    <col min="13311" max="13311" width="8.54296875" style="2" bestFit="1" customWidth="1"/>
    <col min="13312" max="13312" width="12.453125" style="2" bestFit="1" customWidth="1"/>
    <col min="13313" max="13313" width="8.54296875" style="2" customWidth="1"/>
    <col min="13314" max="13314" width="30.81640625" style="2" bestFit="1" customWidth="1"/>
    <col min="13315" max="13315" width="0" style="2" hidden="1" customWidth="1"/>
    <col min="13316" max="13316" width="40.1796875" style="2" customWidth="1"/>
    <col min="13317" max="13317" width="31.6328125" style="2" customWidth="1"/>
    <col min="13318" max="13319" width="0" style="2" hidden="1" customWidth="1"/>
    <col min="13320" max="13320" width="15.36328125" style="2" customWidth="1"/>
    <col min="13321" max="13321" width="16" style="2" customWidth="1"/>
    <col min="13322" max="13323" width="16.1796875" style="2" customWidth="1"/>
    <col min="13324" max="13324" width="18.453125" style="2" bestFit="1" customWidth="1"/>
    <col min="13325" max="13326" width="18.453125" style="2" customWidth="1"/>
    <col min="13327" max="13327" width="16.453125" style="2" customWidth="1"/>
    <col min="13328" max="13328" width="12.90625" style="2" customWidth="1"/>
    <col min="13329" max="13329" width="18.26953125" style="2" bestFit="1" customWidth="1"/>
    <col min="13330" max="13330" width="27.90625" style="2" customWidth="1"/>
    <col min="13331" max="13331" width="19.36328125" style="2" bestFit="1" customWidth="1"/>
    <col min="13332" max="13332" width="19.90625" style="2" customWidth="1"/>
    <col min="13333" max="13333" width="13.453125" style="2" bestFit="1" customWidth="1"/>
    <col min="13334" max="13566" width="8.81640625" style="2"/>
    <col min="13567" max="13567" width="8.54296875" style="2" bestFit="1" customWidth="1"/>
    <col min="13568" max="13568" width="12.453125" style="2" bestFit="1" customWidth="1"/>
    <col min="13569" max="13569" width="8.54296875" style="2" customWidth="1"/>
    <col min="13570" max="13570" width="30.81640625" style="2" bestFit="1" customWidth="1"/>
    <col min="13571" max="13571" width="0" style="2" hidden="1" customWidth="1"/>
    <col min="13572" max="13572" width="40.1796875" style="2" customWidth="1"/>
    <col min="13573" max="13573" width="31.6328125" style="2" customWidth="1"/>
    <col min="13574" max="13575" width="0" style="2" hidden="1" customWidth="1"/>
    <col min="13576" max="13576" width="15.36328125" style="2" customWidth="1"/>
    <col min="13577" max="13577" width="16" style="2" customWidth="1"/>
    <col min="13578" max="13579" width="16.1796875" style="2" customWidth="1"/>
    <col min="13580" max="13580" width="18.453125" style="2" bestFit="1" customWidth="1"/>
    <col min="13581" max="13582" width="18.453125" style="2" customWidth="1"/>
    <col min="13583" max="13583" width="16.453125" style="2" customWidth="1"/>
    <col min="13584" max="13584" width="12.90625" style="2" customWidth="1"/>
    <col min="13585" max="13585" width="18.26953125" style="2" bestFit="1" customWidth="1"/>
    <col min="13586" max="13586" width="27.90625" style="2" customWidth="1"/>
    <col min="13587" max="13587" width="19.36328125" style="2" bestFit="1" customWidth="1"/>
    <col min="13588" max="13588" width="19.90625" style="2" customWidth="1"/>
    <col min="13589" max="13589" width="13.453125" style="2" bestFit="1" customWidth="1"/>
    <col min="13590" max="13822" width="8.81640625" style="2"/>
    <col min="13823" max="13823" width="8.54296875" style="2" bestFit="1" customWidth="1"/>
    <col min="13824" max="13824" width="12.453125" style="2" bestFit="1" customWidth="1"/>
    <col min="13825" max="13825" width="8.54296875" style="2" customWidth="1"/>
    <col min="13826" max="13826" width="30.81640625" style="2" bestFit="1" customWidth="1"/>
    <col min="13827" max="13827" width="0" style="2" hidden="1" customWidth="1"/>
    <col min="13828" max="13828" width="40.1796875" style="2" customWidth="1"/>
    <col min="13829" max="13829" width="31.6328125" style="2" customWidth="1"/>
    <col min="13830" max="13831" width="0" style="2" hidden="1" customWidth="1"/>
    <col min="13832" max="13832" width="15.36328125" style="2" customWidth="1"/>
    <col min="13833" max="13833" width="16" style="2" customWidth="1"/>
    <col min="13834" max="13835" width="16.1796875" style="2" customWidth="1"/>
    <col min="13836" max="13836" width="18.453125" style="2" bestFit="1" customWidth="1"/>
    <col min="13837" max="13838" width="18.453125" style="2" customWidth="1"/>
    <col min="13839" max="13839" width="16.453125" style="2" customWidth="1"/>
    <col min="13840" max="13840" width="12.90625" style="2" customWidth="1"/>
    <col min="13841" max="13841" width="18.26953125" style="2" bestFit="1" customWidth="1"/>
    <col min="13842" max="13842" width="27.90625" style="2" customWidth="1"/>
    <col min="13843" max="13843" width="19.36328125" style="2" bestFit="1" customWidth="1"/>
    <col min="13844" max="13844" width="19.90625" style="2" customWidth="1"/>
    <col min="13845" max="13845" width="13.453125" style="2" bestFit="1" customWidth="1"/>
    <col min="13846" max="14078" width="8.81640625" style="2"/>
    <col min="14079" max="14079" width="8.54296875" style="2" bestFit="1" customWidth="1"/>
    <col min="14080" max="14080" width="12.453125" style="2" bestFit="1" customWidth="1"/>
    <col min="14081" max="14081" width="8.54296875" style="2" customWidth="1"/>
    <col min="14082" max="14082" width="30.81640625" style="2" bestFit="1" customWidth="1"/>
    <col min="14083" max="14083" width="0" style="2" hidden="1" customWidth="1"/>
    <col min="14084" max="14084" width="40.1796875" style="2" customWidth="1"/>
    <col min="14085" max="14085" width="31.6328125" style="2" customWidth="1"/>
    <col min="14086" max="14087" width="0" style="2" hidden="1" customWidth="1"/>
    <col min="14088" max="14088" width="15.36328125" style="2" customWidth="1"/>
    <col min="14089" max="14089" width="16" style="2" customWidth="1"/>
    <col min="14090" max="14091" width="16.1796875" style="2" customWidth="1"/>
    <col min="14092" max="14092" width="18.453125" style="2" bestFit="1" customWidth="1"/>
    <col min="14093" max="14094" width="18.453125" style="2" customWidth="1"/>
    <col min="14095" max="14095" width="16.453125" style="2" customWidth="1"/>
    <col min="14096" max="14096" width="12.90625" style="2" customWidth="1"/>
    <col min="14097" max="14097" width="18.26953125" style="2" bestFit="1" customWidth="1"/>
    <col min="14098" max="14098" width="27.90625" style="2" customWidth="1"/>
    <col min="14099" max="14099" width="19.36328125" style="2" bestFit="1" customWidth="1"/>
    <col min="14100" max="14100" width="19.90625" style="2" customWidth="1"/>
    <col min="14101" max="14101" width="13.453125" style="2" bestFit="1" customWidth="1"/>
    <col min="14102" max="14334" width="8.81640625" style="2"/>
    <col min="14335" max="14335" width="8.54296875" style="2" bestFit="1" customWidth="1"/>
    <col min="14336" max="14336" width="12.453125" style="2" bestFit="1" customWidth="1"/>
    <col min="14337" max="14337" width="8.54296875" style="2" customWidth="1"/>
    <col min="14338" max="14338" width="30.81640625" style="2" bestFit="1" customWidth="1"/>
    <col min="14339" max="14339" width="0" style="2" hidden="1" customWidth="1"/>
    <col min="14340" max="14340" width="40.1796875" style="2" customWidth="1"/>
    <col min="14341" max="14341" width="31.6328125" style="2" customWidth="1"/>
    <col min="14342" max="14343" width="0" style="2" hidden="1" customWidth="1"/>
    <col min="14344" max="14344" width="15.36328125" style="2" customWidth="1"/>
    <col min="14345" max="14345" width="16" style="2" customWidth="1"/>
    <col min="14346" max="14347" width="16.1796875" style="2" customWidth="1"/>
    <col min="14348" max="14348" width="18.453125" style="2" bestFit="1" customWidth="1"/>
    <col min="14349" max="14350" width="18.453125" style="2" customWidth="1"/>
    <col min="14351" max="14351" width="16.453125" style="2" customWidth="1"/>
    <col min="14352" max="14352" width="12.90625" style="2" customWidth="1"/>
    <col min="14353" max="14353" width="18.26953125" style="2" bestFit="1" customWidth="1"/>
    <col min="14354" max="14354" width="27.90625" style="2" customWidth="1"/>
    <col min="14355" max="14355" width="19.36328125" style="2" bestFit="1" customWidth="1"/>
    <col min="14356" max="14356" width="19.90625" style="2" customWidth="1"/>
    <col min="14357" max="14357" width="13.453125" style="2" bestFit="1" customWidth="1"/>
    <col min="14358" max="14590" width="8.81640625" style="2"/>
    <col min="14591" max="14591" width="8.54296875" style="2" bestFit="1" customWidth="1"/>
    <col min="14592" max="14592" width="12.453125" style="2" bestFit="1" customWidth="1"/>
    <col min="14593" max="14593" width="8.54296875" style="2" customWidth="1"/>
    <col min="14594" max="14594" width="30.81640625" style="2" bestFit="1" customWidth="1"/>
    <col min="14595" max="14595" width="0" style="2" hidden="1" customWidth="1"/>
    <col min="14596" max="14596" width="40.1796875" style="2" customWidth="1"/>
    <col min="14597" max="14597" width="31.6328125" style="2" customWidth="1"/>
    <col min="14598" max="14599" width="0" style="2" hidden="1" customWidth="1"/>
    <col min="14600" max="14600" width="15.36328125" style="2" customWidth="1"/>
    <col min="14601" max="14601" width="16" style="2" customWidth="1"/>
    <col min="14602" max="14603" width="16.1796875" style="2" customWidth="1"/>
    <col min="14604" max="14604" width="18.453125" style="2" bestFit="1" customWidth="1"/>
    <col min="14605" max="14606" width="18.453125" style="2" customWidth="1"/>
    <col min="14607" max="14607" width="16.453125" style="2" customWidth="1"/>
    <col min="14608" max="14608" width="12.90625" style="2" customWidth="1"/>
    <col min="14609" max="14609" width="18.26953125" style="2" bestFit="1" customWidth="1"/>
    <col min="14610" max="14610" width="27.90625" style="2" customWidth="1"/>
    <col min="14611" max="14611" width="19.36328125" style="2" bestFit="1" customWidth="1"/>
    <col min="14612" max="14612" width="19.90625" style="2" customWidth="1"/>
    <col min="14613" max="14613" width="13.453125" style="2" bestFit="1" customWidth="1"/>
    <col min="14614" max="14846" width="8.81640625" style="2"/>
    <col min="14847" max="14847" width="8.54296875" style="2" bestFit="1" customWidth="1"/>
    <col min="14848" max="14848" width="12.453125" style="2" bestFit="1" customWidth="1"/>
    <col min="14849" max="14849" width="8.54296875" style="2" customWidth="1"/>
    <col min="14850" max="14850" width="30.81640625" style="2" bestFit="1" customWidth="1"/>
    <col min="14851" max="14851" width="0" style="2" hidden="1" customWidth="1"/>
    <col min="14852" max="14852" width="40.1796875" style="2" customWidth="1"/>
    <col min="14853" max="14853" width="31.6328125" style="2" customWidth="1"/>
    <col min="14854" max="14855" width="0" style="2" hidden="1" customWidth="1"/>
    <col min="14856" max="14856" width="15.36328125" style="2" customWidth="1"/>
    <col min="14857" max="14857" width="16" style="2" customWidth="1"/>
    <col min="14858" max="14859" width="16.1796875" style="2" customWidth="1"/>
    <col min="14860" max="14860" width="18.453125" style="2" bestFit="1" customWidth="1"/>
    <col min="14861" max="14862" width="18.453125" style="2" customWidth="1"/>
    <col min="14863" max="14863" width="16.453125" style="2" customWidth="1"/>
    <col min="14864" max="14864" width="12.90625" style="2" customWidth="1"/>
    <col min="14865" max="14865" width="18.26953125" style="2" bestFit="1" customWidth="1"/>
    <col min="14866" max="14866" width="27.90625" style="2" customWidth="1"/>
    <col min="14867" max="14867" width="19.36328125" style="2" bestFit="1" customWidth="1"/>
    <col min="14868" max="14868" width="19.90625" style="2" customWidth="1"/>
    <col min="14869" max="14869" width="13.453125" style="2" bestFit="1" customWidth="1"/>
    <col min="14870" max="15102" width="8.81640625" style="2"/>
    <col min="15103" max="15103" width="8.54296875" style="2" bestFit="1" customWidth="1"/>
    <col min="15104" max="15104" width="12.453125" style="2" bestFit="1" customWidth="1"/>
    <col min="15105" max="15105" width="8.54296875" style="2" customWidth="1"/>
    <col min="15106" max="15106" width="30.81640625" style="2" bestFit="1" customWidth="1"/>
    <col min="15107" max="15107" width="0" style="2" hidden="1" customWidth="1"/>
    <col min="15108" max="15108" width="40.1796875" style="2" customWidth="1"/>
    <col min="15109" max="15109" width="31.6328125" style="2" customWidth="1"/>
    <col min="15110" max="15111" width="0" style="2" hidden="1" customWidth="1"/>
    <col min="15112" max="15112" width="15.36328125" style="2" customWidth="1"/>
    <col min="15113" max="15113" width="16" style="2" customWidth="1"/>
    <col min="15114" max="15115" width="16.1796875" style="2" customWidth="1"/>
    <col min="15116" max="15116" width="18.453125" style="2" bestFit="1" customWidth="1"/>
    <col min="15117" max="15118" width="18.453125" style="2" customWidth="1"/>
    <col min="15119" max="15119" width="16.453125" style="2" customWidth="1"/>
    <col min="15120" max="15120" width="12.90625" style="2" customWidth="1"/>
    <col min="15121" max="15121" width="18.26953125" style="2" bestFit="1" customWidth="1"/>
    <col min="15122" max="15122" width="27.90625" style="2" customWidth="1"/>
    <col min="15123" max="15123" width="19.36328125" style="2" bestFit="1" customWidth="1"/>
    <col min="15124" max="15124" width="19.90625" style="2" customWidth="1"/>
    <col min="15125" max="15125" width="13.453125" style="2" bestFit="1" customWidth="1"/>
    <col min="15126" max="15358" width="8.81640625" style="2"/>
    <col min="15359" max="15359" width="8.54296875" style="2" bestFit="1" customWidth="1"/>
    <col min="15360" max="15360" width="12.453125" style="2" bestFit="1" customWidth="1"/>
    <col min="15361" max="15361" width="8.54296875" style="2" customWidth="1"/>
    <col min="15362" max="15362" width="30.81640625" style="2" bestFit="1" customWidth="1"/>
    <col min="15363" max="15363" width="0" style="2" hidden="1" customWidth="1"/>
    <col min="15364" max="15364" width="40.1796875" style="2" customWidth="1"/>
    <col min="15365" max="15365" width="31.6328125" style="2" customWidth="1"/>
    <col min="15366" max="15367" width="0" style="2" hidden="1" customWidth="1"/>
    <col min="15368" max="15368" width="15.36328125" style="2" customWidth="1"/>
    <col min="15369" max="15369" width="16" style="2" customWidth="1"/>
    <col min="15370" max="15371" width="16.1796875" style="2" customWidth="1"/>
    <col min="15372" max="15372" width="18.453125" style="2" bestFit="1" customWidth="1"/>
    <col min="15373" max="15374" width="18.453125" style="2" customWidth="1"/>
    <col min="15375" max="15375" width="16.453125" style="2" customWidth="1"/>
    <col min="15376" max="15376" width="12.90625" style="2" customWidth="1"/>
    <col min="15377" max="15377" width="18.26953125" style="2" bestFit="1" customWidth="1"/>
    <col min="15378" max="15378" width="27.90625" style="2" customWidth="1"/>
    <col min="15379" max="15379" width="19.36328125" style="2" bestFit="1" customWidth="1"/>
    <col min="15380" max="15380" width="19.90625" style="2" customWidth="1"/>
    <col min="15381" max="15381" width="13.453125" style="2" bestFit="1" customWidth="1"/>
    <col min="15382" max="15614" width="8.81640625" style="2"/>
    <col min="15615" max="15615" width="8.54296875" style="2" bestFit="1" customWidth="1"/>
    <col min="15616" max="15616" width="12.453125" style="2" bestFit="1" customWidth="1"/>
    <col min="15617" max="15617" width="8.54296875" style="2" customWidth="1"/>
    <col min="15618" max="15618" width="30.81640625" style="2" bestFit="1" customWidth="1"/>
    <col min="15619" max="15619" width="0" style="2" hidden="1" customWidth="1"/>
    <col min="15620" max="15620" width="40.1796875" style="2" customWidth="1"/>
    <col min="15621" max="15621" width="31.6328125" style="2" customWidth="1"/>
    <col min="15622" max="15623" width="0" style="2" hidden="1" customWidth="1"/>
    <col min="15624" max="15624" width="15.36328125" style="2" customWidth="1"/>
    <col min="15625" max="15625" width="16" style="2" customWidth="1"/>
    <col min="15626" max="15627" width="16.1796875" style="2" customWidth="1"/>
    <col min="15628" max="15628" width="18.453125" style="2" bestFit="1" customWidth="1"/>
    <col min="15629" max="15630" width="18.453125" style="2" customWidth="1"/>
    <col min="15631" max="15631" width="16.453125" style="2" customWidth="1"/>
    <col min="15632" max="15632" width="12.90625" style="2" customWidth="1"/>
    <col min="15633" max="15633" width="18.26953125" style="2" bestFit="1" customWidth="1"/>
    <col min="15634" max="15634" width="27.90625" style="2" customWidth="1"/>
    <col min="15635" max="15635" width="19.36328125" style="2" bestFit="1" customWidth="1"/>
    <col min="15636" max="15636" width="19.90625" style="2" customWidth="1"/>
    <col min="15637" max="15637" width="13.453125" style="2" bestFit="1" customWidth="1"/>
    <col min="15638" max="15870" width="8.81640625" style="2"/>
    <col min="15871" max="15871" width="8.54296875" style="2" bestFit="1" customWidth="1"/>
    <col min="15872" max="15872" width="12.453125" style="2" bestFit="1" customWidth="1"/>
    <col min="15873" max="15873" width="8.54296875" style="2" customWidth="1"/>
    <col min="15874" max="15874" width="30.81640625" style="2" bestFit="1" customWidth="1"/>
    <col min="15875" max="15875" width="0" style="2" hidden="1" customWidth="1"/>
    <col min="15876" max="15876" width="40.1796875" style="2" customWidth="1"/>
    <col min="15877" max="15877" width="31.6328125" style="2" customWidth="1"/>
    <col min="15878" max="15879" width="0" style="2" hidden="1" customWidth="1"/>
    <col min="15880" max="15880" width="15.36328125" style="2" customWidth="1"/>
    <col min="15881" max="15881" width="16" style="2" customWidth="1"/>
    <col min="15882" max="15883" width="16.1796875" style="2" customWidth="1"/>
    <col min="15884" max="15884" width="18.453125" style="2" bestFit="1" customWidth="1"/>
    <col min="15885" max="15886" width="18.453125" style="2" customWidth="1"/>
    <col min="15887" max="15887" width="16.453125" style="2" customWidth="1"/>
    <col min="15888" max="15888" width="12.90625" style="2" customWidth="1"/>
    <col min="15889" max="15889" width="18.26953125" style="2" bestFit="1" customWidth="1"/>
    <col min="15890" max="15890" width="27.90625" style="2" customWidth="1"/>
    <col min="15891" max="15891" width="19.36328125" style="2" bestFit="1" customWidth="1"/>
    <col min="15892" max="15892" width="19.90625" style="2" customWidth="1"/>
    <col min="15893" max="15893" width="13.453125" style="2" bestFit="1" customWidth="1"/>
    <col min="15894" max="16126" width="8.81640625" style="2"/>
    <col min="16127" max="16127" width="8.54296875" style="2" bestFit="1" customWidth="1"/>
    <col min="16128" max="16128" width="12.453125" style="2" bestFit="1" customWidth="1"/>
    <col min="16129" max="16129" width="8.54296875" style="2" customWidth="1"/>
    <col min="16130" max="16130" width="30.81640625" style="2" bestFit="1" customWidth="1"/>
    <col min="16131" max="16131" width="0" style="2" hidden="1" customWidth="1"/>
    <col min="16132" max="16132" width="40.1796875" style="2" customWidth="1"/>
    <col min="16133" max="16133" width="31.6328125" style="2" customWidth="1"/>
    <col min="16134" max="16135" width="0" style="2" hidden="1" customWidth="1"/>
    <col min="16136" max="16136" width="15.36328125" style="2" customWidth="1"/>
    <col min="16137" max="16137" width="16" style="2" customWidth="1"/>
    <col min="16138" max="16139" width="16.1796875" style="2" customWidth="1"/>
    <col min="16140" max="16140" width="18.453125" style="2" bestFit="1" customWidth="1"/>
    <col min="16141" max="16142" width="18.453125" style="2" customWidth="1"/>
    <col min="16143" max="16143" width="16.453125" style="2" customWidth="1"/>
    <col min="16144" max="16144" width="12.90625" style="2" customWidth="1"/>
    <col min="16145" max="16145" width="18.26953125" style="2" bestFit="1" customWidth="1"/>
    <col min="16146" max="16146" width="27.90625" style="2" customWidth="1"/>
    <col min="16147" max="16147" width="19.36328125" style="2" bestFit="1" customWidth="1"/>
    <col min="16148" max="16148" width="19.90625" style="2" customWidth="1"/>
    <col min="16149" max="16149" width="13.453125" style="2" bestFit="1" customWidth="1"/>
    <col min="16150" max="16384" width="8.81640625" style="2"/>
  </cols>
  <sheetData>
    <row r="1" spans="1:26" s="1" customFormat="1" ht="21.5" customHeight="1" x14ac:dyDescent="0.35">
      <c r="A1" s="34" t="s">
        <v>0</v>
      </c>
      <c r="B1" s="34" t="s">
        <v>1</v>
      </c>
      <c r="C1" s="34" t="s">
        <v>5</v>
      </c>
      <c r="D1" s="34" t="s">
        <v>6</v>
      </c>
      <c r="E1" s="34" t="s">
        <v>7</v>
      </c>
      <c r="F1" s="34" t="s">
        <v>8</v>
      </c>
      <c r="G1" s="34" t="s">
        <v>3</v>
      </c>
      <c r="H1" s="34" t="s">
        <v>2</v>
      </c>
      <c r="I1" s="34" t="s">
        <v>9</v>
      </c>
      <c r="J1" s="35" t="s">
        <v>10</v>
      </c>
      <c r="K1" s="36" t="s">
        <v>11</v>
      </c>
      <c r="L1" s="36" t="s">
        <v>12</v>
      </c>
      <c r="M1" s="37" t="s">
        <v>13</v>
      </c>
      <c r="N1" s="37" t="s">
        <v>14</v>
      </c>
      <c r="O1" s="37" t="s">
        <v>15</v>
      </c>
      <c r="P1" s="34" t="s">
        <v>16</v>
      </c>
      <c r="Q1" s="36" t="s">
        <v>17</v>
      </c>
      <c r="R1" s="34" t="s">
        <v>18</v>
      </c>
      <c r="S1" s="34" t="s">
        <v>19</v>
      </c>
      <c r="T1" s="34" t="s">
        <v>4</v>
      </c>
      <c r="U1" s="34" t="s">
        <v>20</v>
      </c>
      <c r="V1" s="34" t="s">
        <v>21</v>
      </c>
      <c r="W1" s="34" t="s">
        <v>22</v>
      </c>
      <c r="X1" s="34" t="s">
        <v>23</v>
      </c>
      <c r="Y1" s="5" t="s">
        <v>524</v>
      </c>
      <c r="Z1" s="34" t="s">
        <v>24</v>
      </c>
    </row>
    <row r="2" spans="1:26" ht="17.5" customHeight="1" x14ac:dyDescent="0.35">
      <c r="A2" s="41" t="s">
        <v>116</v>
      </c>
      <c r="B2" s="8" t="s">
        <v>25</v>
      </c>
      <c r="C2" s="49">
        <v>115301</v>
      </c>
      <c r="D2" s="9">
        <v>44044</v>
      </c>
      <c r="E2" s="43" t="s">
        <v>468</v>
      </c>
      <c r="F2" s="43" t="s">
        <v>120</v>
      </c>
      <c r="G2" s="10" t="s">
        <v>121</v>
      </c>
      <c r="H2" s="10" t="s">
        <v>139</v>
      </c>
      <c r="I2" s="10" t="s">
        <v>189</v>
      </c>
      <c r="J2" s="11" t="s">
        <v>207</v>
      </c>
      <c r="K2" s="12" t="s">
        <v>286</v>
      </c>
      <c r="L2" s="10" t="s">
        <v>367</v>
      </c>
      <c r="M2" s="13">
        <v>31</v>
      </c>
      <c r="N2" s="14">
        <v>31</v>
      </c>
      <c r="O2" s="44">
        <v>5</v>
      </c>
      <c r="P2" s="44">
        <v>0</v>
      </c>
      <c r="Q2" s="44">
        <v>0</v>
      </c>
      <c r="R2" s="45">
        <v>0</v>
      </c>
      <c r="S2" s="42">
        <v>0</v>
      </c>
      <c r="T2" s="42">
        <v>486000</v>
      </c>
      <c r="U2" s="42">
        <v>48600</v>
      </c>
      <c r="V2" s="46">
        <v>437400</v>
      </c>
      <c r="W2" s="46">
        <v>3780000</v>
      </c>
      <c r="X2" s="59">
        <f>Table1617[[#This Row],[YTD Professional Fee]]*10%</f>
        <v>378000</v>
      </c>
      <c r="Y2" s="58" t="s">
        <v>475</v>
      </c>
      <c r="Z2" s="60"/>
    </row>
    <row r="3" spans="1:26" x14ac:dyDescent="0.35">
      <c r="A3" s="41" t="s">
        <v>116</v>
      </c>
      <c r="B3" s="8" t="s">
        <v>26</v>
      </c>
      <c r="C3" s="49">
        <v>143604</v>
      </c>
      <c r="D3" s="9">
        <v>44044</v>
      </c>
      <c r="E3" s="43" t="s">
        <v>468</v>
      </c>
      <c r="F3" s="43" t="s">
        <v>120</v>
      </c>
      <c r="G3" s="10" t="s">
        <v>122</v>
      </c>
      <c r="H3" s="10" t="s">
        <v>122</v>
      </c>
      <c r="I3" s="10" t="s">
        <v>190</v>
      </c>
      <c r="J3" s="11" t="s">
        <v>208</v>
      </c>
      <c r="K3" s="12" t="s">
        <v>287</v>
      </c>
      <c r="L3" s="10" t="s">
        <v>368</v>
      </c>
      <c r="M3" s="13">
        <v>31</v>
      </c>
      <c r="N3" s="14">
        <v>31</v>
      </c>
      <c r="O3" s="44">
        <v>5</v>
      </c>
      <c r="P3" s="44">
        <v>0</v>
      </c>
      <c r="Q3" s="44">
        <v>0</v>
      </c>
      <c r="R3" s="45">
        <v>0</v>
      </c>
      <c r="S3" s="42">
        <v>0</v>
      </c>
      <c r="T3" s="42">
        <v>52500</v>
      </c>
      <c r="U3" s="42">
        <v>5250</v>
      </c>
      <c r="V3" s="46">
        <v>47250</v>
      </c>
      <c r="W3" s="46">
        <v>436500</v>
      </c>
      <c r="X3" s="59">
        <f>Table1617[[#This Row],[YTD Professional Fee]]*10%</f>
        <v>43650</v>
      </c>
      <c r="Y3" s="47" t="s">
        <v>476</v>
      </c>
      <c r="Z3" s="60"/>
    </row>
    <row r="4" spans="1:26" x14ac:dyDescent="0.35">
      <c r="A4" s="41" t="s">
        <v>116</v>
      </c>
      <c r="B4" s="8" t="s">
        <v>27</v>
      </c>
      <c r="C4" s="50">
        <v>115192</v>
      </c>
      <c r="D4" s="9">
        <v>44126</v>
      </c>
      <c r="E4" s="43" t="s">
        <v>468</v>
      </c>
      <c r="F4" s="43" t="s">
        <v>120</v>
      </c>
      <c r="G4" s="10" t="s">
        <v>123</v>
      </c>
      <c r="H4" s="10" t="s">
        <v>140</v>
      </c>
      <c r="I4" s="10" t="s">
        <v>191</v>
      </c>
      <c r="J4" s="11" t="s">
        <v>209</v>
      </c>
      <c r="K4" s="12" t="s">
        <v>288</v>
      </c>
      <c r="L4" s="10" t="s">
        <v>369</v>
      </c>
      <c r="M4" s="13">
        <v>31</v>
      </c>
      <c r="N4" s="14">
        <v>31</v>
      </c>
      <c r="O4" s="44">
        <v>5</v>
      </c>
      <c r="P4" s="44">
        <v>0</v>
      </c>
      <c r="Q4" s="44">
        <v>0</v>
      </c>
      <c r="R4" s="45">
        <v>3</v>
      </c>
      <c r="S4" s="42">
        <v>0</v>
      </c>
      <c r="T4" s="42">
        <v>925000</v>
      </c>
      <c r="U4" s="42">
        <v>92500</v>
      </c>
      <c r="V4" s="46">
        <v>832500</v>
      </c>
      <c r="W4" s="46">
        <v>7400000</v>
      </c>
      <c r="X4" s="59">
        <f>Table1617[[#This Row],[YTD Professional Fee]]*10%</f>
        <v>740000</v>
      </c>
      <c r="Y4" s="47" t="s">
        <v>477</v>
      </c>
      <c r="Z4" s="60"/>
    </row>
    <row r="5" spans="1:26" x14ac:dyDescent="0.35">
      <c r="A5" s="41" t="s">
        <v>116</v>
      </c>
      <c r="B5" s="8" t="s">
        <v>28</v>
      </c>
      <c r="C5" s="42">
        <v>115476</v>
      </c>
      <c r="D5" s="9">
        <v>44172</v>
      </c>
      <c r="E5" s="43" t="s">
        <v>468</v>
      </c>
      <c r="F5" s="43" t="s">
        <v>120</v>
      </c>
      <c r="G5" s="10" t="s">
        <v>124</v>
      </c>
      <c r="H5" s="10" t="s">
        <v>140</v>
      </c>
      <c r="I5" s="10" t="s">
        <v>192</v>
      </c>
      <c r="J5" s="11" t="s">
        <v>210</v>
      </c>
      <c r="K5" s="12" t="s">
        <v>289</v>
      </c>
      <c r="L5" s="10" t="s">
        <v>370</v>
      </c>
      <c r="M5" s="13">
        <v>31</v>
      </c>
      <c r="N5" s="14">
        <v>31</v>
      </c>
      <c r="O5" s="44">
        <v>5</v>
      </c>
      <c r="P5" s="44">
        <v>0</v>
      </c>
      <c r="Q5" s="44">
        <v>0</v>
      </c>
      <c r="R5" s="45">
        <v>0</v>
      </c>
      <c r="S5" s="42">
        <v>0</v>
      </c>
      <c r="T5" s="42">
        <v>325000</v>
      </c>
      <c r="U5" s="42">
        <v>32500</v>
      </c>
      <c r="V5" s="46">
        <v>292500</v>
      </c>
      <c r="W5" s="46">
        <v>2600000</v>
      </c>
      <c r="X5" s="59">
        <f>Table1617[[#This Row],[YTD Professional Fee]]*10%</f>
        <v>260000</v>
      </c>
      <c r="Y5" s="47" t="s">
        <v>478</v>
      </c>
      <c r="Z5" s="60"/>
    </row>
    <row r="6" spans="1:26" x14ac:dyDescent="0.35">
      <c r="A6" s="41" t="s">
        <v>116</v>
      </c>
      <c r="B6" s="8" t="s">
        <v>29</v>
      </c>
      <c r="C6" s="42">
        <v>115609</v>
      </c>
      <c r="D6" s="9">
        <v>44281</v>
      </c>
      <c r="E6" s="43" t="s">
        <v>468</v>
      </c>
      <c r="F6" s="43" t="s">
        <v>120</v>
      </c>
      <c r="G6" s="10" t="s">
        <v>125</v>
      </c>
      <c r="H6" s="10" t="s">
        <v>141</v>
      </c>
      <c r="I6" s="10" t="s">
        <v>193</v>
      </c>
      <c r="J6" s="11" t="s">
        <v>211</v>
      </c>
      <c r="K6" s="12" t="s">
        <v>290</v>
      </c>
      <c r="L6" s="10" t="s">
        <v>371</v>
      </c>
      <c r="M6" s="13">
        <v>31</v>
      </c>
      <c r="N6" s="14">
        <v>31</v>
      </c>
      <c r="O6" s="44">
        <v>5</v>
      </c>
      <c r="P6" s="44">
        <v>0</v>
      </c>
      <c r="Q6" s="44">
        <v>0</v>
      </c>
      <c r="R6" s="45">
        <v>0</v>
      </c>
      <c r="S6" s="42">
        <v>0</v>
      </c>
      <c r="T6" s="42">
        <v>438966</v>
      </c>
      <c r="U6" s="42">
        <v>43896.600000000006</v>
      </c>
      <c r="V6" s="46">
        <v>395069.4</v>
      </c>
      <c r="W6" s="46">
        <v>3358568</v>
      </c>
      <c r="X6" s="59">
        <f>Table1617[[#This Row],[YTD Professional Fee]]*10%</f>
        <v>335856.80000000005</v>
      </c>
      <c r="Y6" s="47" t="s">
        <v>479</v>
      </c>
      <c r="Z6" s="60"/>
    </row>
    <row r="7" spans="1:26" x14ac:dyDescent="0.35">
      <c r="A7" s="41" t="s">
        <v>116</v>
      </c>
      <c r="B7" s="8" t="s">
        <v>30</v>
      </c>
      <c r="C7" s="42">
        <v>115515</v>
      </c>
      <c r="D7" s="9">
        <v>44317</v>
      </c>
      <c r="E7" s="43" t="s">
        <v>468</v>
      </c>
      <c r="F7" s="43" t="s">
        <v>120</v>
      </c>
      <c r="G7" s="10" t="s">
        <v>126</v>
      </c>
      <c r="H7" s="10" t="s">
        <v>142</v>
      </c>
      <c r="I7" s="10" t="s">
        <v>193</v>
      </c>
      <c r="J7" s="11" t="s">
        <v>212</v>
      </c>
      <c r="K7" s="12" t="s">
        <v>286</v>
      </c>
      <c r="L7" s="10" t="s">
        <v>372</v>
      </c>
      <c r="M7" s="13">
        <v>31</v>
      </c>
      <c r="N7" s="14">
        <v>31</v>
      </c>
      <c r="O7" s="44">
        <v>5</v>
      </c>
      <c r="P7" s="44">
        <v>0</v>
      </c>
      <c r="Q7" s="44">
        <v>0</v>
      </c>
      <c r="R7" s="45">
        <v>0</v>
      </c>
      <c r="S7" s="42">
        <v>0</v>
      </c>
      <c r="T7" s="42">
        <v>653000</v>
      </c>
      <c r="U7" s="42">
        <v>65300</v>
      </c>
      <c r="V7" s="46">
        <v>587700</v>
      </c>
      <c r="W7" s="46">
        <v>5053000</v>
      </c>
      <c r="X7" s="59">
        <f>Table1617[[#This Row],[YTD Professional Fee]]*10%</f>
        <v>505300</v>
      </c>
      <c r="Y7" s="47" t="s">
        <v>480</v>
      </c>
      <c r="Z7" s="60"/>
    </row>
    <row r="8" spans="1:26" x14ac:dyDescent="0.35">
      <c r="A8" s="41" t="s">
        <v>116</v>
      </c>
      <c r="B8" s="8" t="s">
        <v>31</v>
      </c>
      <c r="C8" s="42">
        <v>115194</v>
      </c>
      <c r="D8" s="9">
        <v>44375</v>
      </c>
      <c r="E8" s="43" t="s">
        <v>468</v>
      </c>
      <c r="F8" s="43" t="s">
        <v>120</v>
      </c>
      <c r="G8" s="10" t="s">
        <v>124</v>
      </c>
      <c r="H8" s="10" t="s">
        <v>143</v>
      </c>
      <c r="I8" s="10" t="s">
        <v>191</v>
      </c>
      <c r="J8" s="11" t="s">
        <v>213</v>
      </c>
      <c r="K8" s="12" t="s">
        <v>291</v>
      </c>
      <c r="L8" s="10" t="s">
        <v>373</v>
      </c>
      <c r="M8" s="13">
        <v>31</v>
      </c>
      <c r="N8" s="14">
        <v>31</v>
      </c>
      <c r="O8" s="44">
        <v>5</v>
      </c>
      <c r="P8" s="44">
        <v>0</v>
      </c>
      <c r="Q8" s="44">
        <v>0</v>
      </c>
      <c r="R8" s="45">
        <v>20</v>
      </c>
      <c r="S8" s="42">
        <v>0</v>
      </c>
      <c r="T8" s="48">
        <v>200000</v>
      </c>
      <c r="U8" s="42">
        <v>20000</v>
      </c>
      <c r="V8" s="46">
        <v>180000</v>
      </c>
      <c r="W8" s="46">
        <v>1500000</v>
      </c>
      <c r="X8" s="59">
        <f>Table1617[[#This Row],[YTD Professional Fee]]*10%</f>
        <v>150000</v>
      </c>
      <c r="Y8" s="58" t="s">
        <v>520</v>
      </c>
      <c r="Z8" s="60"/>
    </row>
    <row r="9" spans="1:26" x14ac:dyDescent="0.35">
      <c r="A9" s="41" t="s">
        <v>525</v>
      </c>
      <c r="B9" s="8" t="s">
        <v>32</v>
      </c>
      <c r="C9" s="42">
        <v>142314</v>
      </c>
      <c r="D9" s="9">
        <v>44531</v>
      </c>
      <c r="E9" s="43" t="s">
        <v>468</v>
      </c>
      <c r="F9" s="43" t="s">
        <v>120</v>
      </c>
      <c r="G9" s="10" t="s">
        <v>127</v>
      </c>
      <c r="H9" s="10" t="s">
        <v>143</v>
      </c>
      <c r="I9" s="10" t="s">
        <v>191</v>
      </c>
      <c r="J9" s="11" t="s">
        <v>214</v>
      </c>
      <c r="K9" s="12" t="s">
        <v>292</v>
      </c>
      <c r="L9" s="10" t="s">
        <v>374</v>
      </c>
      <c r="M9" s="13">
        <v>31</v>
      </c>
      <c r="N9" s="14">
        <v>31</v>
      </c>
      <c r="O9" s="44">
        <v>5</v>
      </c>
      <c r="P9" s="44">
        <v>0</v>
      </c>
      <c r="Q9" s="44">
        <v>0</v>
      </c>
      <c r="R9" s="45">
        <v>2</v>
      </c>
      <c r="S9" s="42">
        <v>0</v>
      </c>
      <c r="T9" s="48">
        <v>700000</v>
      </c>
      <c r="U9" s="42">
        <v>70000</v>
      </c>
      <c r="V9" s="46">
        <v>630000</v>
      </c>
      <c r="W9" s="46">
        <v>5600000</v>
      </c>
      <c r="X9" s="59">
        <f>Table1617[[#This Row],[YTD Professional Fee]]*10%</f>
        <v>560000</v>
      </c>
      <c r="Y9" s="47" t="s">
        <v>481</v>
      </c>
      <c r="Z9" s="60"/>
    </row>
    <row r="10" spans="1:26" x14ac:dyDescent="0.35">
      <c r="A10" s="41" t="s">
        <v>116</v>
      </c>
      <c r="B10" s="8" t="s">
        <v>33</v>
      </c>
      <c r="C10" s="42">
        <v>142325</v>
      </c>
      <c r="D10" s="9">
        <v>44595</v>
      </c>
      <c r="E10" s="43" t="s">
        <v>468</v>
      </c>
      <c r="F10" s="43" t="s">
        <v>120</v>
      </c>
      <c r="G10" s="10" t="s">
        <v>123</v>
      </c>
      <c r="H10" s="10" t="s">
        <v>145</v>
      </c>
      <c r="I10" s="10" t="s">
        <v>195</v>
      </c>
      <c r="J10" s="11" t="s">
        <v>215</v>
      </c>
      <c r="K10" s="12" t="s">
        <v>293</v>
      </c>
      <c r="L10" s="10" t="s">
        <v>375</v>
      </c>
      <c r="M10" s="13">
        <v>31</v>
      </c>
      <c r="N10" s="14">
        <v>31</v>
      </c>
      <c r="O10" s="44">
        <v>5</v>
      </c>
      <c r="P10" s="44">
        <v>0</v>
      </c>
      <c r="Q10" s="44">
        <v>0</v>
      </c>
      <c r="R10" s="45">
        <v>0</v>
      </c>
      <c r="S10" s="42">
        <v>0</v>
      </c>
      <c r="T10" s="48">
        <v>300000</v>
      </c>
      <c r="U10" s="42">
        <v>30000</v>
      </c>
      <c r="V10" s="46">
        <v>270000</v>
      </c>
      <c r="W10" s="46">
        <v>2250000</v>
      </c>
      <c r="X10" s="59">
        <f>Table1617[[#This Row],[YTD Professional Fee]]*10%</f>
        <v>225000</v>
      </c>
      <c r="Y10" s="47" t="s">
        <v>482</v>
      </c>
      <c r="Z10" s="60"/>
    </row>
    <row r="11" spans="1:26" x14ac:dyDescent="0.35">
      <c r="A11" s="41" t="s">
        <v>116</v>
      </c>
      <c r="B11" s="8" t="s">
        <v>34</v>
      </c>
      <c r="C11" s="42">
        <v>142330</v>
      </c>
      <c r="D11" s="9">
        <v>44644</v>
      </c>
      <c r="E11" s="43" t="s">
        <v>468</v>
      </c>
      <c r="F11" s="43" t="s">
        <v>120</v>
      </c>
      <c r="G11" s="10" t="s">
        <v>124</v>
      </c>
      <c r="H11" s="10" t="s">
        <v>146</v>
      </c>
      <c r="I11" s="10" t="s">
        <v>191</v>
      </c>
      <c r="J11" s="11" t="s">
        <v>216</v>
      </c>
      <c r="K11" s="12" t="s">
        <v>294</v>
      </c>
      <c r="L11" s="10" t="s">
        <v>376</v>
      </c>
      <c r="M11" s="13">
        <v>31</v>
      </c>
      <c r="N11" s="14">
        <v>31</v>
      </c>
      <c r="O11" s="44">
        <v>5</v>
      </c>
      <c r="P11" s="44">
        <v>0</v>
      </c>
      <c r="Q11" s="44">
        <v>0</v>
      </c>
      <c r="R11" s="45">
        <v>3</v>
      </c>
      <c r="S11" s="42">
        <v>0</v>
      </c>
      <c r="T11" s="48">
        <v>350000</v>
      </c>
      <c r="U11" s="42">
        <v>35000</v>
      </c>
      <c r="V11" s="46">
        <v>315000</v>
      </c>
      <c r="W11" s="46">
        <v>2800000</v>
      </c>
      <c r="X11" s="59">
        <f>Table1617[[#This Row],[YTD Professional Fee]]*10%</f>
        <v>280000</v>
      </c>
      <c r="Y11" s="47" t="s">
        <v>483</v>
      </c>
      <c r="Z11" s="60"/>
    </row>
    <row r="12" spans="1:26" x14ac:dyDescent="0.35">
      <c r="A12" s="41" t="s">
        <v>116</v>
      </c>
      <c r="B12" s="8" t="s">
        <v>35</v>
      </c>
      <c r="C12" s="42">
        <v>142329</v>
      </c>
      <c r="D12" s="9">
        <v>44774</v>
      </c>
      <c r="E12" s="43" t="s">
        <v>468</v>
      </c>
      <c r="F12" s="43" t="s">
        <v>120</v>
      </c>
      <c r="G12" s="10" t="s">
        <v>124</v>
      </c>
      <c r="H12" s="10" t="s">
        <v>147</v>
      </c>
      <c r="I12" s="10" t="s">
        <v>191</v>
      </c>
      <c r="J12" s="11" t="s">
        <v>217</v>
      </c>
      <c r="K12" s="12" t="s">
        <v>295</v>
      </c>
      <c r="L12" s="10" t="s">
        <v>377</v>
      </c>
      <c r="M12" s="13">
        <v>31</v>
      </c>
      <c r="N12" s="14">
        <v>31</v>
      </c>
      <c r="O12" s="44">
        <v>5</v>
      </c>
      <c r="P12" s="44">
        <v>0</v>
      </c>
      <c r="Q12" s="44">
        <v>0</v>
      </c>
      <c r="R12" s="45">
        <v>2</v>
      </c>
      <c r="S12" s="42">
        <v>0</v>
      </c>
      <c r="T12" s="48">
        <v>375000</v>
      </c>
      <c r="U12" s="42">
        <v>37500</v>
      </c>
      <c r="V12" s="46">
        <v>337500</v>
      </c>
      <c r="W12" s="46">
        <v>3000000</v>
      </c>
      <c r="X12" s="59">
        <f>Table1617[[#This Row],[YTD Professional Fee]]*10%</f>
        <v>300000</v>
      </c>
      <c r="Y12" s="55" t="s">
        <v>458</v>
      </c>
      <c r="Z12" s="60"/>
    </row>
    <row r="13" spans="1:26" x14ac:dyDescent="0.35">
      <c r="A13" s="41" t="s">
        <v>116</v>
      </c>
      <c r="B13" s="8" t="s">
        <v>36</v>
      </c>
      <c r="C13" s="42">
        <v>142327</v>
      </c>
      <c r="D13" s="9">
        <v>44784</v>
      </c>
      <c r="E13" s="43" t="s">
        <v>468</v>
      </c>
      <c r="F13" s="43" t="s">
        <v>120</v>
      </c>
      <c r="G13" s="10" t="s">
        <v>128</v>
      </c>
      <c r="H13" s="10" t="s">
        <v>143</v>
      </c>
      <c r="I13" s="10" t="s">
        <v>193</v>
      </c>
      <c r="J13" s="11" t="s">
        <v>218</v>
      </c>
      <c r="K13" s="12" t="s">
        <v>296</v>
      </c>
      <c r="L13" s="10" t="s">
        <v>378</v>
      </c>
      <c r="M13" s="13">
        <v>31</v>
      </c>
      <c r="N13" s="14">
        <v>31</v>
      </c>
      <c r="O13" s="44">
        <v>5</v>
      </c>
      <c r="P13" s="44">
        <v>0</v>
      </c>
      <c r="Q13" s="44">
        <v>0</v>
      </c>
      <c r="R13" s="45">
        <v>1</v>
      </c>
      <c r="S13" s="42">
        <v>0</v>
      </c>
      <c r="T13" s="48">
        <v>485000</v>
      </c>
      <c r="U13" s="42">
        <v>48500</v>
      </c>
      <c r="V13" s="46">
        <v>436500</v>
      </c>
      <c r="W13" s="46">
        <v>3880000</v>
      </c>
      <c r="X13" s="59">
        <f>Table1617[[#This Row],[YTD Professional Fee]]*10%</f>
        <v>388000</v>
      </c>
      <c r="Y13" s="47" t="s">
        <v>484</v>
      </c>
      <c r="Z13" s="60"/>
    </row>
    <row r="14" spans="1:26" x14ac:dyDescent="0.35">
      <c r="A14" s="41" t="s">
        <v>116</v>
      </c>
      <c r="B14" s="8" t="s">
        <v>37</v>
      </c>
      <c r="C14" s="42">
        <v>118875</v>
      </c>
      <c r="D14" s="9">
        <v>44813</v>
      </c>
      <c r="E14" s="43" t="s">
        <v>468</v>
      </c>
      <c r="F14" s="43" t="s">
        <v>120</v>
      </c>
      <c r="G14" s="10" t="s">
        <v>124</v>
      </c>
      <c r="H14" s="10" t="s">
        <v>140</v>
      </c>
      <c r="I14" s="10" t="s">
        <v>189</v>
      </c>
      <c r="J14" s="11" t="s">
        <v>219</v>
      </c>
      <c r="K14" s="12" t="s">
        <v>297</v>
      </c>
      <c r="L14" s="10" t="s">
        <v>379</v>
      </c>
      <c r="M14" s="13">
        <v>31</v>
      </c>
      <c r="N14" s="14">
        <v>31</v>
      </c>
      <c r="O14" s="44">
        <v>5</v>
      </c>
      <c r="P14" s="44">
        <v>0</v>
      </c>
      <c r="Q14" s="44">
        <v>0</v>
      </c>
      <c r="R14" s="45">
        <v>0</v>
      </c>
      <c r="S14" s="42">
        <v>0</v>
      </c>
      <c r="T14" s="48">
        <v>350000</v>
      </c>
      <c r="U14" s="42">
        <v>35000</v>
      </c>
      <c r="V14" s="46">
        <v>315000</v>
      </c>
      <c r="W14" s="46">
        <v>2500000</v>
      </c>
      <c r="X14" s="59">
        <f>Table1617[[#This Row],[YTD Professional Fee]]*10%</f>
        <v>250000</v>
      </c>
      <c r="Y14" s="47" t="s">
        <v>485</v>
      </c>
      <c r="Z14" s="60"/>
    </row>
    <row r="15" spans="1:26" x14ac:dyDescent="0.35">
      <c r="A15" s="41" t="s">
        <v>116</v>
      </c>
      <c r="B15" s="8" t="s">
        <v>38</v>
      </c>
      <c r="C15" s="50">
        <v>142351</v>
      </c>
      <c r="D15" s="9">
        <v>44832</v>
      </c>
      <c r="E15" s="43" t="s">
        <v>468</v>
      </c>
      <c r="F15" s="43" t="s">
        <v>120</v>
      </c>
      <c r="G15" s="10" t="s">
        <v>129</v>
      </c>
      <c r="H15" s="10" t="s">
        <v>149</v>
      </c>
      <c r="I15" s="10" t="s">
        <v>191</v>
      </c>
      <c r="J15" s="11">
        <v>99931128102007</v>
      </c>
      <c r="K15" s="12" t="s">
        <v>298</v>
      </c>
      <c r="L15" s="10" t="s">
        <v>380</v>
      </c>
      <c r="M15" s="13">
        <v>31</v>
      </c>
      <c r="N15" s="14">
        <v>31</v>
      </c>
      <c r="O15" s="44">
        <v>5</v>
      </c>
      <c r="P15" s="44">
        <v>0</v>
      </c>
      <c r="Q15" s="44">
        <v>0</v>
      </c>
      <c r="R15" s="45">
        <v>1</v>
      </c>
      <c r="S15" s="42">
        <v>0</v>
      </c>
      <c r="T15" s="48">
        <v>1000000</v>
      </c>
      <c r="U15" s="42">
        <v>100000</v>
      </c>
      <c r="V15" s="46">
        <v>900000</v>
      </c>
      <c r="W15" s="46">
        <v>7500000</v>
      </c>
      <c r="X15" s="59">
        <f>Table1617[[#This Row],[YTD Professional Fee]]*10%</f>
        <v>750000</v>
      </c>
      <c r="Y15" s="47" t="s">
        <v>486</v>
      </c>
      <c r="Z15" s="60"/>
    </row>
    <row r="16" spans="1:26" x14ac:dyDescent="0.35">
      <c r="A16" s="41" t="s">
        <v>116</v>
      </c>
      <c r="B16" s="8" t="s">
        <v>39</v>
      </c>
      <c r="C16" s="50">
        <v>142353</v>
      </c>
      <c r="D16" s="9">
        <v>44839</v>
      </c>
      <c r="E16" s="43" t="s">
        <v>468</v>
      </c>
      <c r="F16" s="43" t="s">
        <v>120</v>
      </c>
      <c r="G16" s="10" t="s">
        <v>130</v>
      </c>
      <c r="H16" s="10" t="s">
        <v>150</v>
      </c>
      <c r="I16" s="10" t="s">
        <v>191</v>
      </c>
      <c r="J16" s="11" t="s">
        <v>220</v>
      </c>
      <c r="K16" s="12" t="s">
        <v>299</v>
      </c>
      <c r="L16" s="10" t="s">
        <v>381</v>
      </c>
      <c r="M16" s="13">
        <v>31</v>
      </c>
      <c r="N16" s="14">
        <v>31</v>
      </c>
      <c r="O16" s="44">
        <v>5</v>
      </c>
      <c r="P16" s="44">
        <v>0</v>
      </c>
      <c r="Q16" s="44">
        <v>0</v>
      </c>
      <c r="R16" s="45">
        <v>0</v>
      </c>
      <c r="S16" s="42">
        <v>0</v>
      </c>
      <c r="T16" s="48">
        <v>1188000</v>
      </c>
      <c r="U16" s="42">
        <v>118800</v>
      </c>
      <c r="V16" s="46">
        <v>1069200</v>
      </c>
      <c r="W16" s="46">
        <v>9504000</v>
      </c>
      <c r="X16" s="59">
        <f>Table1617[[#This Row],[YTD Professional Fee]]*10%</f>
        <v>950400</v>
      </c>
      <c r="Y16" s="47" t="s">
        <v>487</v>
      </c>
      <c r="Z16" s="60"/>
    </row>
    <row r="17" spans="1:26" x14ac:dyDescent="0.35">
      <c r="A17" s="41" t="s">
        <v>116</v>
      </c>
      <c r="B17" s="8" t="s">
        <v>40</v>
      </c>
      <c r="C17" s="50">
        <v>119153</v>
      </c>
      <c r="D17" s="9">
        <v>44841</v>
      </c>
      <c r="E17" s="43" t="s">
        <v>468</v>
      </c>
      <c r="F17" s="43" t="s">
        <v>120</v>
      </c>
      <c r="G17" s="10" t="s">
        <v>124</v>
      </c>
      <c r="H17" s="10" t="s">
        <v>142</v>
      </c>
      <c r="I17" s="10" t="s">
        <v>196</v>
      </c>
      <c r="J17" s="11" t="s">
        <v>221</v>
      </c>
      <c r="K17" s="12" t="s">
        <v>300</v>
      </c>
      <c r="L17" s="10" t="s">
        <v>382</v>
      </c>
      <c r="M17" s="13">
        <v>31</v>
      </c>
      <c r="N17" s="14">
        <v>31</v>
      </c>
      <c r="O17" s="44">
        <v>5</v>
      </c>
      <c r="P17" s="44">
        <v>0</v>
      </c>
      <c r="Q17" s="44">
        <v>0</v>
      </c>
      <c r="R17" s="45">
        <v>2</v>
      </c>
      <c r="S17" s="42">
        <v>0</v>
      </c>
      <c r="T17" s="48">
        <v>424000</v>
      </c>
      <c r="U17" s="42">
        <v>42400</v>
      </c>
      <c r="V17" s="46">
        <v>381600</v>
      </c>
      <c r="W17" s="46">
        <v>3263000</v>
      </c>
      <c r="X17" s="59">
        <f>Table1617[[#This Row],[YTD Professional Fee]]*10%</f>
        <v>326300</v>
      </c>
      <c r="Y17" s="47" t="s">
        <v>488</v>
      </c>
      <c r="Z17" s="60"/>
    </row>
    <row r="18" spans="1:26" x14ac:dyDescent="0.35">
      <c r="A18" s="41" t="s">
        <v>116</v>
      </c>
      <c r="B18" s="8" t="s">
        <v>41</v>
      </c>
      <c r="C18" s="42">
        <v>142355</v>
      </c>
      <c r="D18" s="9">
        <v>44994</v>
      </c>
      <c r="E18" s="43" t="s">
        <v>468</v>
      </c>
      <c r="F18" s="43" t="s">
        <v>120</v>
      </c>
      <c r="G18" s="10" t="s">
        <v>131</v>
      </c>
      <c r="H18" s="10" t="s">
        <v>142</v>
      </c>
      <c r="I18" s="10" t="s">
        <v>190</v>
      </c>
      <c r="J18" s="11" t="s">
        <v>222</v>
      </c>
      <c r="K18" s="12" t="s">
        <v>301</v>
      </c>
      <c r="L18" s="10" t="s">
        <v>383</v>
      </c>
      <c r="M18" s="13">
        <v>31</v>
      </c>
      <c r="N18" s="14">
        <v>31</v>
      </c>
      <c r="O18" s="44">
        <v>5</v>
      </c>
      <c r="P18" s="44">
        <v>0</v>
      </c>
      <c r="Q18" s="44">
        <v>0</v>
      </c>
      <c r="R18" s="45">
        <v>6</v>
      </c>
      <c r="S18" s="42">
        <v>0</v>
      </c>
      <c r="T18" s="48">
        <v>282500</v>
      </c>
      <c r="U18" s="42">
        <v>28250</v>
      </c>
      <c r="V18" s="46">
        <v>254250</v>
      </c>
      <c r="W18" s="46">
        <v>2263000</v>
      </c>
      <c r="X18" s="59">
        <f>Table1617[[#This Row],[YTD Professional Fee]]*10%</f>
        <v>226300</v>
      </c>
      <c r="Y18" s="47" t="s">
        <v>489</v>
      </c>
      <c r="Z18" s="60"/>
    </row>
    <row r="19" spans="1:26" x14ac:dyDescent="0.35">
      <c r="A19" s="41" t="s">
        <v>116</v>
      </c>
      <c r="B19" s="8" t="s">
        <v>42</v>
      </c>
      <c r="C19" s="50">
        <v>142359</v>
      </c>
      <c r="D19" s="9">
        <v>45002</v>
      </c>
      <c r="E19" s="43" t="s">
        <v>468</v>
      </c>
      <c r="F19" s="43" t="s">
        <v>120</v>
      </c>
      <c r="G19" s="10" t="s">
        <v>124</v>
      </c>
      <c r="H19" s="10" t="s">
        <v>151</v>
      </c>
      <c r="I19" s="10" t="s">
        <v>194</v>
      </c>
      <c r="J19" s="11" t="s">
        <v>223</v>
      </c>
      <c r="K19" s="12" t="s">
        <v>302</v>
      </c>
      <c r="L19" s="10" t="s">
        <v>384</v>
      </c>
      <c r="M19" s="13">
        <v>31</v>
      </c>
      <c r="N19" s="14">
        <v>31</v>
      </c>
      <c r="O19" s="44">
        <v>5</v>
      </c>
      <c r="P19" s="44">
        <v>0</v>
      </c>
      <c r="Q19" s="44">
        <v>0</v>
      </c>
      <c r="R19" s="45">
        <v>0</v>
      </c>
      <c r="S19" s="42">
        <v>0</v>
      </c>
      <c r="T19" s="48">
        <v>135000</v>
      </c>
      <c r="U19" s="42">
        <v>13500</v>
      </c>
      <c r="V19" s="46">
        <v>121500</v>
      </c>
      <c r="W19" s="46">
        <v>1080000</v>
      </c>
      <c r="X19" s="59">
        <f>Table1617[[#This Row],[YTD Professional Fee]]*10%</f>
        <v>108000</v>
      </c>
      <c r="Y19" s="47" t="s">
        <v>490</v>
      </c>
      <c r="Z19" s="60"/>
    </row>
    <row r="20" spans="1:26" x14ac:dyDescent="0.35">
      <c r="A20" s="41" t="s">
        <v>116</v>
      </c>
      <c r="B20" s="8" t="s">
        <v>43</v>
      </c>
      <c r="C20" s="50">
        <v>142361</v>
      </c>
      <c r="D20" s="9">
        <v>45013</v>
      </c>
      <c r="E20" s="43" t="s">
        <v>468</v>
      </c>
      <c r="F20" s="43" t="s">
        <v>120</v>
      </c>
      <c r="G20" s="10" t="s">
        <v>124</v>
      </c>
      <c r="H20" s="10" t="s">
        <v>143</v>
      </c>
      <c r="I20" s="10" t="s">
        <v>193</v>
      </c>
      <c r="J20" s="11" t="s">
        <v>224</v>
      </c>
      <c r="K20" s="12" t="s">
        <v>303</v>
      </c>
      <c r="L20" s="10" t="s">
        <v>385</v>
      </c>
      <c r="M20" s="13">
        <v>31</v>
      </c>
      <c r="N20" s="14">
        <v>31</v>
      </c>
      <c r="O20" s="44">
        <v>5</v>
      </c>
      <c r="P20" s="44">
        <v>0</v>
      </c>
      <c r="Q20" s="44">
        <v>0</v>
      </c>
      <c r="R20" s="45">
        <v>1</v>
      </c>
      <c r="S20" s="42">
        <v>0</v>
      </c>
      <c r="T20" s="48">
        <v>275000</v>
      </c>
      <c r="U20" s="42">
        <v>27500</v>
      </c>
      <c r="V20" s="46">
        <v>247500</v>
      </c>
      <c r="W20" s="46">
        <v>2200000</v>
      </c>
      <c r="X20" s="59">
        <f>Table1617[[#This Row],[YTD Professional Fee]]*10%</f>
        <v>220000</v>
      </c>
      <c r="Y20" s="47" t="s">
        <v>491</v>
      </c>
      <c r="Z20" s="60"/>
    </row>
    <row r="21" spans="1:26" x14ac:dyDescent="0.35">
      <c r="A21" s="41" t="s">
        <v>116</v>
      </c>
      <c r="B21" s="8" t="s">
        <v>44</v>
      </c>
      <c r="C21" s="50">
        <v>143529</v>
      </c>
      <c r="D21" s="9">
        <v>45120</v>
      </c>
      <c r="E21" s="43" t="s">
        <v>468</v>
      </c>
      <c r="F21" s="43" t="s">
        <v>120</v>
      </c>
      <c r="G21" s="10" t="s">
        <v>124</v>
      </c>
      <c r="H21" s="10" t="s">
        <v>152</v>
      </c>
      <c r="I21" s="10" t="s">
        <v>191</v>
      </c>
      <c r="J21" s="11" t="s">
        <v>225</v>
      </c>
      <c r="K21" s="12" t="s">
        <v>304</v>
      </c>
      <c r="L21" s="10" t="s">
        <v>386</v>
      </c>
      <c r="M21" s="13">
        <v>31</v>
      </c>
      <c r="N21" s="14">
        <v>31</v>
      </c>
      <c r="O21" s="44">
        <v>5</v>
      </c>
      <c r="P21" s="44">
        <v>0</v>
      </c>
      <c r="Q21" s="44">
        <v>0</v>
      </c>
      <c r="R21" s="45">
        <v>3</v>
      </c>
      <c r="S21" s="42">
        <v>0</v>
      </c>
      <c r="T21" s="48">
        <v>750000</v>
      </c>
      <c r="U21" s="42">
        <v>75000</v>
      </c>
      <c r="V21" s="46">
        <v>675000</v>
      </c>
      <c r="W21" s="46">
        <v>6000000</v>
      </c>
      <c r="X21" s="59">
        <f>Table1617[[#This Row],[YTD Professional Fee]]*10%</f>
        <v>600000</v>
      </c>
      <c r="Y21" s="47" t="s">
        <v>492</v>
      </c>
      <c r="Z21" s="60"/>
    </row>
    <row r="22" spans="1:26" x14ac:dyDescent="0.35">
      <c r="A22" s="41" t="s">
        <v>116</v>
      </c>
      <c r="B22" s="8" t="s">
        <v>45</v>
      </c>
      <c r="C22" s="50">
        <v>143530</v>
      </c>
      <c r="D22" s="9">
        <v>45177</v>
      </c>
      <c r="E22" s="43" t="s">
        <v>468</v>
      </c>
      <c r="F22" s="43" t="s">
        <v>120</v>
      </c>
      <c r="G22" s="10" t="s">
        <v>127</v>
      </c>
      <c r="H22" s="10" t="s">
        <v>153</v>
      </c>
      <c r="I22" s="10" t="s">
        <v>191</v>
      </c>
      <c r="J22" s="11" t="s">
        <v>226</v>
      </c>
      <c r="K22" s="12" t="s">
        <v>305</v>
      </c>
      <c r="L22" s="10" t="s">
        <v>387</v>
      </c>
      <c r="M22" s="13">
        <v>31</v>
      </c>
      <c r="N22" s="14">
        <v>31</v>
      </c>
      <c r="O22" s="44">
        <v>5</v>
      </c>
      <c r="P22" s="44">
        <v>0</v>
      </c>
      <c r="Q22" s="44">
        <v>0</v>
      </c>
      <c r="R22" s="45">
        <v>3</v>
      </c>
      <c r="S22" s="42">
        <v>0</v>
      </c>
      <c r="T22" s="48">
        <v>1500000</v>
      </c>
      <c r="U22" s="42">
        <v>150000</v>
      </c>
      <c r="V22" s="46">
        <v>1350000</v>
      </c>
      <c r="W22" s="46">
        <v>12000000</v>
      </c>
      <c r="X22" s="59">
        <f>Table1617[[#This Row],[YTD Professional Fee]]*10%</f>
        <v>1200000</v>
      </c>
      <c r="Y22" s="47" t="s">
        <v>493</v>
      </c>
      <c r="Z22" s="60"/>
    </row>
    <row r="23" spans="1:26" x14ac:dyDescent="0.35">
      <c r="A23" s="41" t="s">
        <v>116</v>
      </c>
      <c r="B23" s="8" t="s">
        <v>46</v>
      </c>
      <c r="C23" s="50">
        <v>143532</v>
      </c>
      <c r="D23" s="9">
        <v>45247</v>
      </c>
      <c r="E23" s="43" t="s">
        <v>468</v>
      </c>
      <c r="F23" s="43" t="s">
        <v>120</v>
      </c>
      <c r="G23" s="10" t="s">
        <v>124</v>
      </c>
      <c r="H23" s="10" t="s">
        <v>154</v>
      </c>
      <c r="I23" s="10" t="s">
        <v>194</v>
      </c>
      <c r="J23" s="11" t="s">
        <v>227</v>
      </c>
      <c r="K23" s="12" t="s">
        <v>306</v>
      </c>
      <c r="L23" s="10" t="s">
        <v>388</v>
      </c>
      <c r="M23" s="13">
        <v>31</v>
      </c>
      <c r="N23" s="14">
        <v>31</v>
      </c>
      <c r="O23" s="44">
        <v>5</v>
      </c>
      <c r="P23" s="44">
        <v>0</v>
      </c>
      <c r="Q23" s="44">
        <v>0</v>
      </c>
      <c r="R23" s="45">
        <v>2</v>
      </c>
      <c r="S23" s="42">
        <v>0</v>
      </c>
      <c r="T23" s="48">
        <v>75000</v>
      </c>
      <c r="U23" s="42">
        <v>7500</v>
      </c>
      <c r="V23" s="46">
        <v>67500</v>
      </c>
      <c r="W23" s="46">
        <v>600000</v>
      </c>
      <c r="X23" s="59">
        <f>Table1617[[#This Row],[YTD Professional Fee]]*10%</f>
        <v>60000</v>
      </c>
      <c r="Y23" s="47" t="s">
        <v>494</v>
      </c>
      <c r="Z23" s="60"/>
    </row>
    <row r="24" spans="1:26" x14ac:dyDescent="0.35">
      <c r="A24" s="41" t="s">
        <v>116</v>
      </c>
      <c r="B24" s="8" t="s">
        <v>47</v>
      </c>
      <c r="C24" s="42"/>
      <c r="D24" s="9">
        <v>45292</v>
      </c>
      <c r="E24" s="43" t="s">
        <v>468</v>
      </c>
      <c r="F24" s="43" t="s">
        <v>120</v>
      </c>
      <c r="G24" s="10" t="s">
        <v>124</v>
      </c>
      <c r="H24" s="10" t="s">
        <v>145</v>
      </c>
      <c r="I24" s="10" t="s">
        <v>191</v>
      </c>
      <c r="J24" s="11" t="s">
        <v>228</v>
      </c>
      <c r="K24" s="12" t="s">
        <v>307</v>
      </c>
      <c r="L24" s="10" t="s">
        <v>389</v>
      </c>
      <c r="M24" s="13">
        <v>31</v>
      </c>
      <c r="N24" s="14">
        <v>31</v>
      </c>
      <c r="O24" s="44">
        <v>5</v>
      </c>
      <c r="P24" s="44">
        <v>0</v>
      </c>
      <c r="Q24" s="44">
        <v>0</v>
      </c>
      <c r="R24" s="45">
        <v>0</v>
      </c>
      <c r="S24" s="42">
        <v>0</v>
      </c>
      <c r="T24" s="48">
        <v>180000</v>
      </c>
      <c r="U24" s="42">
        <v>18000</v>
      </c>
      <c r="V24" s="46">
        <v>162000</v>
      </c>
      <c r="W24" s="46">
        <v>1440000</v>
      </c>
      <c r="X24" s="59">
        <f>Table1617[[#This Row],[YTD Professional Fee]]*10%</f>
        <v>144000</v>
      </c>
      <c r="Y24" s="47" t="s">
        <v>495</v>
      </c>
      <c r="Z24" s="60"/>
    </row>
    <row r="25" spans="1:26" x14ac:dyDescent="0.35">
      <c r="A25" s="41" t="s">
        <v>116</v>
      </c>
      <c r="B25" s="8" t="s">
        <v>48</v>
      </c>
      <c r="C25" s="42">
        <v>142365</v>
      </c>
      <c r="D25" s="9">
        <v>45474</v>
      </c>
      <c r="E25" s="43" t="s">
        <v>468</v>
      </c>
      <c r="F25" s="43" t="s">
        <v>120</v>
      </c>
      <c r="G25" s="10" t="s">
        <v>124</v>
      </c>
      <c r="H25" s="10" t="s">
        <v>155</v>
      </c>
      <c r="I25" s="10" t="s">
        <v>192</v>
      </c>
      <c r="J25" s="11" t="s">
        <v>229</v>
      </c>
      <c r="K25" s="12" t="s">
        <v>308</v>
      </c>
      <c r="L25" s="10" t="s">
        <v>390</v>
      </c>
      <c r="M25" s="13">
        <v>31</v>
      </c>
      <c r="N25" s="14">
        <v>31</v>
      </c>
      <c r="O25" s="44">
        <v>5</v>
      </c>
      <c r="P25" s="44">
        <v>0</v>
      </c>
      <c r="Q25" s="44">
        <v>0</v>
      </c>
      <c r="R25" s="45">
        <v>2</v>
      </c>
      <c r="S25" s="42">
        <v>0</v>
      </c>
      <c r="T25" s="48">
        <v>750000</v>
      </c>
      <c r="U25" s="42">
        <v>75000</v>
      </c>
      <c r="V25" s="46">
        <v>675000</v>
      </c>
      <c r="W25" s="46">
        <v>5400000</v>
      </c>
      <c r="X25" s="59">
        <f>Table1617[[#This Row],[YTD Professional Fee]]*10%</f>
        <v>540000</v>
      </c>
      <c r="Y25" s="47" t="s">
        <v>496</v>
      </c>
      <c r="Z25" s="60"/>
    </row>
    <row r="26" spans="1:26" x14ac:dyDescent="0.35">
      <c r="A26" s="41" t="s">
        <v>116</v>
      </c>
      <c r="B26" s="8" t="s">
        <v>49</v>
      </c>
      <c r="C26" s="42">
        <v>142375</v>
      </c>
      <c r="D26" s="9">
        <v>45495</v>
      </c>
      <c r="E26" s="43" t="s">
        <v>468</v>
      </c>
      <c r="F26" s="43" t="s">
        <v>120</v>
      </c>
      <c r="G26" s="10" t="s">
        <v>132</v>
      </c>
      <c r="H26" s="10" t="s">
        <v>140</v>
      </c>
      <c r="I26" s="10" t="s">
        <v>189</v>
      </c>
      <c r="J26" s="11" t="s">
        <v>230</v>
      </c>
      <c r="K26" s="12" t="s">
        <v>309</v>
      </c>
      <c r="L26" s="10" t="s">
        <v>391</v>
      </c>
      <c r="M26" s="13">
        <v>31</v>
      </c>
      <c r="N26" s="14">
        <v>31</v>
      </c>
      <c r="O26" s="44">
        <v>5</v>
      </c>
      <c r="P26" s="44">
        <v>0</v>
      </c>
      <c r="Q26" s="44">
        <v>0</v>
      </c>
      <c r="R26" s="45">
        <v>0</v>
      </c>
      <c r="S26" s="42">
        <v>0</v>
      </c>
      <c r="T26" s="48">
        <v>200000</v>
      </c>
      <c r="U26" s="42">
        <v>20000</v>
      </c>
      <c r="V26" s="46">
        <v>180000</v>
      </c>
      <c r="W26" s="46">
        <v>1600000</v>
      </c>
      <c r="X26" s="59">
        <f>Table1617[[#This Row],[YTD Professional Fee]]*10%</f>
        <v>160000</v>
      </c>
      <c r="Y26" s="47" t="s">
        <v>497</v>
      </c>
      <c r="Z26" s="60"/>
    </row>
    <row r="27" spans="1:26" x14ac:dyDescent="0.35">
      <c r="A27" s="41" t="s">
        <v>116</v>
      </c>
      <c r="B27" s="8" t="s">
        <v>50</v>
      </c>
      <c r="C27" s="50">
        <v>142368</v>
      </c>
      <c r="D27" s="9">
        <v>45505</v>
      </c>
      <c r="E27" s="43" t="s">
        <v>468</v>
      </c>
      <c r="F27" s="43" t="s">
        <v>120</v>
      </c>
      <c r="G27" s="10" t="s">
        <v>124</v>
      </c>
      <c r="H27" s="10" t="s">
        <v>156</v>
      </c>
      <c r="I27" s="10" t="s">
        <v>194</v>
      </c>
      <c r="J27" s="11" t="s">
        <v>231</v>
      </c>
      <c r="K27" s="12" t="s">
        <v>310</v>
      </c>
      <c r="L27" s="10" t="s">
        <v>392</v>
      </c>
      <c r="M27" s="13">
        <v>31</v>
      </c>
      <c r="N27" s="14">
        <v>31</v>
      </c>
      <c r="O27" s="44">
        <v>5</v>
      </c>
      <c r="P27" s="44">
        <v>0</v>
      </c>
      <c r="Q27" s="44">
        <v>0</v>
      </c>
      <c r="R27" s="45">
        <v>0</v>
      </c>
      <c r="S27" s="42">
        <v>0</v>
      </c>
      <c r="T27" s="48">
        <v>900000</v>
      </c>
      <c r="U27" s="42">
        <v>90000</v>
      </c>
      <c r="V27" s="46">
        <v>810000</v>
      </c>
      <c r="W27" s="46">
        <v>6150000</v>
      </c>
      <c r="X27" s="59">
        <f>Table1617[[#This Row],[YTD Professional Fee]]*10%</f>
        <v>615000</v>
      </c>
      <c r="Y27" s="47" t="s">
        <v>498</v>
      </c>
      <c r="Z27" s="60"/>
    </row>
    <row r="28" spans="1:26" x14ac:dyDescent="0.35">
      <c r="A28" s="41" t="s">
        <v>116</v>
      </c>
      <c r="B28" s="8" t="s">
        <v>51</v>
      </c>
      <c r="C28" s="50">
        <v>143077</v>
      </c>
      <c r="D28" s="9">
        <v>45532</v>
      </c>
      <c r="E28" s="43" t="s">
        <v>468</v>
      </c>
      <c r="F28" s="43" t="s">
        <v>120</v>
      </c>
      <c r="G28" s="10" t="s">
        <v>121</v>
      </c>
      <c r="H28" s="10" t="s">
        <v>157</v>
      </c>
      <c r="I28" s="10" t="s">
        <v>189</v>
      </c>
      <c r="J28" s="11" t="s">
        <v>232</v>
      </c>
      <c r="K28" s="12" t="s">
        <v>296</v>
      </c>
      <c r="L28" s="10" t="s">
        <v>393</v>
      </c>
      <c r="M28" s="13">
        <v>31</v>
      </c>
      <c r="N28" s="14">
        <v>31</v>
      </c>
      <c r="O28" s="44">
        <v>5</v>
      </c>
      <c r="P28" s="44">
        <v>0</v>
      </c>
      <c r="Q28" s="44">
        <v>0</v>
      </c>
      <c r="R28" s="45">
        <v>1</v>
      </c>
      <c r="S28" s="42">
        <v>0</v>
      </c>
      <c r="T28" s="48">
        <v>888890</v>
      </c>
      <c r="U28" s="42">
        <v>88889</v>
      </c>
      <c r="V28" s="46">
        <v>800001</v>
      </c>
      <c r="W28" s="46">
        <v>7111120</v>
      </c>
      <c r="X28" s="59">
        <f>Table1617[[#This Row],[YTD Professional Fee]]*10%</f>
        <v>711112</v>
      </c>
      <c r="Y28" s="47" t="s">
        <v>499</v>
      </c>
      <c r="Z28" s="60"/>
    </row>
    <row r="29" spans="1:26" x14ac:dyDescent="0.35">
      <c r="A29" s="41" t="s">
        <v>116</v>
      </c>
      <c r="B29" s="15" t="s">
        <v>52</v>
      </c>
      <c r="C29" s="50">
        <v>142494</v>
      </c>
      <c r="D29" s="9">
        <v>45532</v>
      </c>
      <c r="E29" s="43" t="s">
        <v>468</v>
      </c>
      <c r="F29" s="43" t="s">
        <v>120</v>
      </c>
      <c r="G29" s="10" t="s">
        <v>131</v>
      </c>
      <c r="H29" s="10" t="s">
        <v>157</v>
      </c>
      <c r="I29" s="10" t="s">
        <v>191</v>
      </c>
      <c r="J29" s="11" t="s">
        <v>233</v>
      </c>
      <c r="K29" s="12" t="s">
        <v>311</v>
      </c>
      <c r="L29" s="10" t="s">
        <v>394</v>
      </c>
      <c r="M29" s="13">
        <v>31</v>
      </c>
      <c r="N29" s="14">
        <v>31</v>
      </c>
      <c r="O29" s="44">
        <v>5</v>
      </c>
      <c r="P29" s="44">
        <v>0</v>
      </c>
      <c r="Q29" s="44">
        <v>0</v>
      </c>
      <c r="R29" s="45">
        <v>0</v>
      </c>
      <c r="S29" s="42">
        <v>0</v>
      </c>
      <c r="T29" s="48">
        <v>200000</v>
      </c>
      <c r="U29" s="42">
        <v>20000</v>
      </c>
      <c r="V29" s="46">
        <v>180000</v>
      </c>
      <c r="W29" s="46">
        <v>1400020</v>
      </c>
      <c r="X29" s="59">
        <f>Table1617[[#This Row],[YTD Professional Fee]]*10%</f>
        <v>140002</v>
      </c>
      <c r="Y29" s="47" t="s">
        <v>500</v>
      </c>
      <c r="Z29" s="60"/>
    </row>
    <row r="30" spans="1:26" x14ac:dyDescent="0.35">
      <c r="A30" s="41" t="s">
        <v>116</v>
      </c>
      <c r="B30" s="8" t="s">
        <v>53</v>
      </c>
      <c r="C30" s="50">
        <v>142376</v>
      </c>
      <c r="D30" s="9">
        <v>45600</v>
      </c>
      <c r="E30" s="43" t="s">
        <v>468</v>
      </c>
      <c r="F30" s="43" t="s">
        <v>120</v>
      </c>
      <c r="G30" s="10" t="s">
        <v>124</v>
      </c>
      <c r="H30" s="10" t="s">
        <v>158</v>
      </c>
      <c r="I30" s="10" t="s">
        <v>197</v>
      </c>
      <c r="J30" s="11" t="s">
        <v>234</v>
      </c>
      <c r="K30" s="12" t="s">
        <v>312</v>
      </c>
      <c r="L30" s="10" t="s">
        <v>395</v>
      </c>
      <c r="M30" s="13">
        <v>31</v>
      </c>
      <c r="N30" s="14">
        <v>31</v>
      </c>
      <c r="O30" s="44">
        <v>5</v>
      </c>
      <c r="P30" s="44">
        <v>0</v>
      </c>
      <c r="Q30" s="44">
        <v>0</v>
      </c>
      <c r="R30" s="45">
        <v>3</v>
      </c>
      <c r="S30" s="42">
        <v>0</v>
      </c>
      <c r="T30" s="48">
        <v>845000</v>
      </c>
      <c r="U30" s="42">
        <v>84500</v>
      </c>
      <c r="V30" s="46">
        <v>760500</v>
      </c>
      <c r="W30" s="46">
        <v>6269354.8387096776</v>
      </c>
      <c r="X30" s="59">
        <f>Table1617[[#This Row],[YTD Professional Fee]]*10%</f>
        <v>626935.48387096776</v>
      </c>
      <c r="Y30" s="58" t="s">
        <v>521</v>
      </c>
      <c r="Z30" s="60"/>
    </row>
    <row r="31" spans="1:26" x14ac:dyDescent="0.35">
      <c r="A31" s="41" t="s">
        <v>116</v>
      </c>
      <c r="B31" s="8" t="s">
        <v>54</v>
      </c>
      <c r="C31" s="50">
        <v>129372</v>
      </c>
      <c r="D31" s="9">
        <v>45607</v>
      </c>
      <c r="E31" s="43" t="s">
        <v>468</v>
      </c>
      <c r="F31" s="43" t="s">
        <v>120</v>
      </c>
      <c r="G31" s="10" t="s">
        <v>121</v>
      </c>
      <c r="H31" s="10" t="s">
        <v>146</v>
      </c>
      <c r="I31" s="10" t="s">
        <v>191</v>
      </c>
      <c r="J31" s="11" t="s">
        <v>235</v>
      </c>
      <c r="K31" s="12" t="s">
        <v>313</v>
      </c>
      <c r="L31" s="10" t="s">
        <v>396</v>
      </c>
      <c r="M31" s="13">
        <v>31</v>
      </c>
      <c r="N31" s="14">
        <v>31</v>
      </c>
      <c r="O31" s="44">
        <v>5</v>
      </c>
      <c r="P31" s="44">
        <v>0</v>
      </c>
      <c r="Q31" s="44">
        <v>0</v>
      </c>
      <c r="R31" s="45">
        <v>0</v>
      </c>
      <c r="S31" s="42">
        <v>0</v>
      </c>
      <c r="T31" s="48">
        <v>2500000</v>
      </c>
      <c r="U31" s="42">
        <v>250000</v>
      </c>
      <c r="V31" s="46">
        <v>2250000</v>
      </c>
      <c r="W31" s="46">
        <v>20000000</v>
      </c>
      <c r="X31" s="59">
        <f>Table1617[[#This Row],[YTD Professional Fee]]*10%</f>
        <v>2000000</v>
      </c>
      <c r="Y31" s="47" t="s">
        <v>501</v>
      </c>
      <c r="Z31" s="60"/>
    </row>
    <row r="32" spans="1:26" x14ac:dyDescent="0.35">
      <c r="A32" s="41" t="s">
        <v>116</v>
      </c>
      <c r="B32" s="8" t="s">
        <v>55</v>
      </c>
      <c r="C32" s="50">
        <v>129380</v>
      </c>
      <c r="D32" s="9">
        <v>45607</v>
      </c>
      <c r="E32" s="43" t="s">
        <v>468</v>
      </c>
      <c r="F32" s="43" t="s">
        <v>120</v>
      </c>
      <c r="G32" s="10" t="s">
        <v>124</v>
      </c>
      <c r="H32" s="10" t="s">
        <v>146</v>
      </c>
      <c r="I32" s="10" t="s">
        <v>191</v>
      </c>
      <c r="J32" s="11" t="s">
        <v>236</v>
      </c>
      <c r="K32" s="12" t="s">
        <v>314</v>
      </c>
      <c r="L32" s="10" t="s">
        <v>397</v>
      </c>
      <c r="M32" s="13">
        <v>31</v>
      </c>
      <c r="N32" s="14">
        <v>31</v>
      </c>
      <c r="O32" s="44">
        <v>5</v>
      </c>
      <c r="P32" s="44">
        <v>0</v>
      </c>
      <c r="Q32" s="44">
        <v>0</v>
      </c>
      <c r="R32" s="45">
        <v>1</v>
      </c>
      <c r="S32" s="42">
        <v>0</v>
      </c>
      <c r="T32" s="48">
        <v>300000</v>
      </c>
      <c r="U32" s="42">
        <v>30000</v>
      </c>
      <c r="V32" s="46">
        <v>270000</v>
      </c>
      <c r="W32" s="46">
        <v>2400000</v>
      </c>
      <c r="X32" s="59">
        <f>Table1617[[#This Row],[YTD Professional Fee]]*10%</f>
        <v>240000</v>
      </c>
      <c r="Y32" s="47" t="s">
        <v>459</v>
      </c>
      <c r="Z32" s="47"/>
    </row>
    <row r="33" spans="1:26" x14ac:dyDescent="0.35">
      <c r="A33" s="41" t="s">
        <v>116</v>
      </c>
      <c r="B33" s="8" t="s">
        <v>56</v>
      </c>
      <c r="C33" s="50">
        <v>129375</v>
      </c>
      <c r="D33" s="9">
        <v>45607</v>
      </c>
      <c r="E33" s="43" t="s">
        <v>468</v>
      </c>
      <c r="F33" s="43" t="s">
        <v>120</v>
      </c>
      <c r="G33" s="10" t="s">
        <v>124</v>
      </c>
      <c r="H33" s="10" t="s">
        <v>146</v>
      </c>
      <c r="I33" s="10" t="s">
        <v>193</v>
      </c>
      <c r="J33" s="11" t="s">
        <v>237</v>
      </c>
      <c r="K33" s="12" t="s">
        <v>296</v>
      </c>
      <c r="L33" s="10" t="s">
        <v>398</v>
      </c>
      <c r="M33" s="13">
        <v>31</v>
      </c>
      <c r="N33" s="14">
        <v>31</v>
      </c>
      <c r="O33" s="44">
        <v>5</v>
      </c>
      <c r="P33" s="44">
        <v>0</v>
      </c>
      <c r="Q33" s="44">
        <v>0</v>
      </c>
      <c r="R33" s="45">
        <v>1</v>
      </c>
      <c r="S33" s="42">
        <v>0</v>
      </c>
      <c r="T33" s="48">
        <v>300000</v>
      </c>
      <c r="U33" s="42">
        <v>30000</v>
      </c>
      <c r="V33" s="46">
        <v>270000</v>
      </c>
      <c r="W33" s="46">
        <v>2400000</v>
      </c>
      <c r="X33" s="59">
        <f>Table1617[[#This Row],[YTD Professional Fee]]*10%</f>
        <v>240000</v>
      </c>
      <c r="Y33" s="47" t="s">
        <v>502</v>
      </c>
      <c r="Z33" s="60"/>
    </row>
    <row r="34" spans="1:26" x14ac:dyDescent="0.35">
      <c r="A34" s="41" t="s">
        <v>116</v>
      </c>
      <c r="B34" s="8" t="s">
        <v>57</v>
      </c>
      <c r="C34" s="50">
        <v>142382</v>
      </c>
      <c r="D34" s="9">
        <v>45782</v>
      </c>
      <c r="E34" s="43" t="s">
        <v>468</v>
      </c>
      <c r="F34" s="43" t="s">
        <v>120</v>
      </c>
      <c r="G34" s="10" t="s">
        <v>131</v>
      </c>
      <c r="H34" s="10" t="s">
        <v>150</v>
      </c>
      <c r="I34" s="12" t="s">
        <v>198</v>
      </c>
      <c r="J34" s="11">
        <v>30055199508</v>
      </c>
      <c r="K34" s="10" t="s">
        <v>315</v>
      </c>
      <c r="L34" s="10" t="s">
        <v>399</v>
      </c>
      <c r="M34" s="13">
        <v>31</v>
      </c>
      <c r="N34" s="14">
        <v>31</v>
      </c>
      <c r="O34" s="44">
        <v>5</v>
      </c>
      <c r="P34" s="44">
        <v>0</v>
      </c>
      <c r="Q34" s="44">
        <v>0</v>
      </c>
      <c r="R34" s="45">
        <v>0</v>
      </c>
      <c r="S34" s="42">
        <v>0</v>
      </c>
      <c r="T34" s="48">
        <v>150000</v>
      </c>
      <c r="U34" s="42">
        <v>15000</v>
      </c>
      <c r="V34" s="46">
        <v>135000</v>
      </c>
      <c r="W34" s="46">
        <v>1200000</v>
      </c>
      <c r="X34" s="59">
        <f>Table1617[[#This Row],[YTD Professional Fee]]*10%</f>
        <v>120000</v>
      </c>
      <c r="Y34" s="56" t="s">
        <v>460</v>
      </c>
      <c r="Z34" s="63"/>
    </row>
    <row r="35" spans="1:26" x14ac:dyDescent="0.35">
      <c r="A35" s="41" t="s">
        <v>116</v>
      </c>
      <c r="B35" s="8" t="s">
        <v>58</v>
      </c>
      <c r="C35" s="50">
        <v>142700</v>
      </c>
      <c r="D35" s="9">
        <v>45784</v>
      </c>
      <c r="E35" s="43" t="s">
        <v>468</v>
      </c>
      <c r="F35" s="43" t="s">
        <v>120</v>
      </c>
      <c r="G35" s="10" t="s">
        <v>132</v>
      </c>
      <c r="H35" s="10" t="s">
        <v>160</v>
      </c>
      <c r="I35" s="12" t="s">
        <v>198</v>
      </c>
      <c r="J35" s="11" t="s">
        <v>238</v>
      </c>
      <c r="K35" s="10" t="s">
        <v>315</v>
      </c>
      <c r="L35" s="10" t="s">
        <v>400</v>
      </c>
      <c r="M35" s="13">
        <v>31</v>
      </c>
      <c r="N35" s="14">
        <v>31</v>
      </c>
      <c r="O35" s="44">
        <v>5</v>
      </c>
      <c r="P35" s="44">
        <v>0</v>
      </c>
      <c r="Q35" s="44">
        <v>0</v>
      </c>
      <c r="R35" s="45">
        <v>0</v>
      </c>
      <c r="S35" s="42">
        <v>0</v>
      </c>
      <c r="T35" s="48">
        <v>300000</v>
      </c>
      <c r="U35" s="42">
        <v>30000</v>
      </c>
      <c r="V35" s="46">
        <v>270000</v>
      </c>
      <c r="W35" s="46">
        <v>2400000</v>
      </c>
      <c r="X35" s="59">
        <f>Table1617[[#This Row],[YTD Professional Fee]]*10%</f>
        <v>240000</v>
      </c>
      <c r="Y35" s="47" t="s">
        <v>503</v>
      </c>
      <c r="Z35" s="60"/>
    </row>
    <row r="36" spans="1:26" x14ac:dyDescent="0.35">
      <c r="A36" s="41" t="s">
        <v>116</v>
      </c>
      <c r="B36" s="8" t="s">
        <v>59</v>
      </c>
      <c r="C36" s="50">
        <v>136824</v>
      </c>
      <c r="D36" s="9">
        <v>45792</v>
      </c>
      <c r="E36" s="43" t="s">
        <v>468</v>
      </c>
      <c r="F36" s="43" t="s">
        <v>120</v>
      </c>
      <c r="G36" s="10" t="s">
        <v>124</v>
      </c>
      <c r="H36" s="10" t="s">
        <v>161</v>
      </c>
      <c r="I36" s="12" t="s">
        <v>190</v>
      </c>
      <c r="J36" s="11" t="s">
        <v>239</v>
      </c>
      <c r="K36" s="10" t="s">
        <v>316</v>
      </c>
      <c r="L36" s="10" t="s">
        <v>401</v>
      </c>
      <c r="M36" s="13">
        <v>31</v>
      </c>
      <c r="N36" s="14">
        <v>31</v>
      </c>
      <c r="O36" s="44">
        <v>5</v>
      </c>
      <c r="P36" s="44">
        <v>0</v>
      </c>
      <c r="Q36" s="44">
        <v>0</v>
      </c>
      <c r="R36" s="45">
        <v>0</v>
      </c>
      <c r="S36" s="42">
        <v>0</v>
      </c>
      <c r="T36" s="48">
        <v>216000</v>
      </c>
      <c r="U36" s="42">
        <v>21600</v>
      </c>
      <c r="V36" s="46">
        <v>194400</v>
      </c>
      <c r="W36" s="46">
        <v>1632000</v>
      </c>
      <c r="X36" s="59">
        <f>Table1617[[#This Row],[YTD Professional Fee]]*10%</f>
        <v>163200</v>
      </c>
      <c r="Y36" s="47" t="s">
        <v>504</v>
      </c>
      <c r="Z36" s="60"/>
    </row>
    <row r="37" spans="1:26" x14ac:dyDescent="0.35">
      <c r="A37" s="41" t="s">
        <v>116</v>
      </c>
      <c r="B37" s="8" t="s">
        <v>60</v>
      </c>
      <c r="C37" s="50">
        <v>142383</v>
      </c>
      <c r="D37" s="9">
        <v>45807</v>
      </c>
      <c r="E37" s="43" t="s">
        <v>468</v>
      </c>
      <c r="F37" s="43" t="s">
        <v>120</v>
      </c>
      <c r="G37" s="10" t="s">
        <v>133</v>
      </c>
      <c r="H37" s="10" t="s">
        <v>162</v>
      </c>
      <c r="I37" s="12" t="s">
        <v>193</v>
      </c>
      <c r="J37" s="11" t="s">
        <v>240</v>
      </c>
      <c r="K37" s="10" t="s">
        <v>312</v>
      </c>
      <c r="L37" s="10" t="s">
        <v>402</v>
      </c>
      <c r="M37" s="13">
        <v>31</v>
      </c>
      <c r="N37" s="14">
        <v>31</v>
      </c>
      <c r="O37" s="44">
        <v>5</v>
      </c>
      <c r="P37" s="44">
        <v>0</v>
      </c>
      <c r="Q37" s="44">
        <v>0</v>
      </c>
      <c r="R37" s="45">
        <v>1</v>
      </c>
      <c r="S37" s="42">
        <v>0</v>
      </c>
      <c r="T37" s="48">
        <v>500000</v>
      </c>
      <c r="U37" s="42">
        <v>50000</v>
      </c>
      <c r="V37" s="46">
        <v>450000</v>
      </c>
      <c r="W37" s="46">
        <v>4000000</v>
      </c>
      <c r="X37" s="59">
        <f>Table1617[[#This Row],[YTD Professional Fee]]*10%</f>
        <v>400000</v>
      </c>
      <c r="Y37" s="47" t="s">
        <v>505</v>
      </c>
      <c r="Z37" s="60"/>
    </row>
    <row r="38" spans="1:26" x14ac:dyDescent="0.35">
      <c r="A38" s="41" t="s">
        <v>116</v>
      </c>
      <c r="B38" s="8" t="s">
        <v>61</v>
      </c>
      <c r="C38" s="50">
        <v>142384</v>
      </c>
      <c r="D38" s="9">
        <v>45810</v>
      </c>
      <c r="E38" s="43" t="s">
        <v>468</v>
      </c>
      <c r="F38" s="43" t="s">
        <v>120</v>
      </c>
      <c r="G38" s="10" t="s">
        <v>133</v>
      </c>
      <c r="H38" s="10" t="s">
        <v>159</v>
      </c>
      <c r="I38" s="12" t="s">
        <v>198</v>
      </c>
      <c r="J38" s="11" t="s">
        <v>241</v>
      </c>
      <c r="K38" s="10" t="s">
        <v>317</v>
      </c>
      <c r="L38" s="10" t="s">
        <v>403</v>
      </c>
      <c r="M38" s="13">
        <v>31</v>
      </c>
      <c r="N38" s="14">
        <v>31</v>
      </c>
      <c r="O38" s="44">
        <v>5</v>
      </c>
      <c r="P38" s="44">
        <v>0</v>
      </c>
      <c r="Q38" s="44">
        <v>0</v>
      </c>
      <c r="R38" s="45">
        <v>1</v>
      </c>
      <c r="S38" s="42">
        <v>0</v>
      </c>
      <c r="T38" s="48">
        <v>1530000</v>
      </c>
      <c r="U38" s="42">
        <v>153000</v>
      </c>
      <c r="V38" s="46">
        <v>1377000</v>
      </c>
      <c r="W38" s="46">
        <v>12240000</v>
      </c>
      <c r="X38" s="59">
        <f>Table1617[[#This Row],[YTD Professional Fee]]*10%</f>
        <v>1224000</v>
      </c>
      <c r="Y38" s="47" t="s">
        <v>506</v>
      </c>
      <c r="Z38" s="60"/>
    </row>
    <row r="39" spans="1:26" x14ac:dyDescent="0.35">
      <c r="A39" s="41" t="s">
        <v>116</v>
      </c>
      <c r="B39" s="8" t="s">
        <v>62</v>
      </c>
      <c r="C39" s="50">
        <v>142389</v>
      </c>
      <c r="D39" s="9">
        <v>45835</v>
      </c>
      <c r="E39" s="43" t="s">
        <v>468</v>
      </c>
      <c r="F39" s="43" t="s">
        <v>120</v>
      </c>
      <c r="G39" s="10" t="s">
        <v>124</v>
      </c>
      <c r="H39" s="10" t="s">
        <v>144</v>
      </c>
      <c r="I39" s="12" t="s">
        <v>199</v>
      </c>
      <c r="J39" s="11">
        <v>5345364725</v>
      </c>
      <c r="K39" s="10" t="s">
        <v>318</v>
      </c>
      <c r="L39" s="10" t="s">
        <v>404</v>
      </c>
      <c r="M39" s="13">
        <v>31</v>
      </c>
      <c r="N39" s="14">
        <v>31</v>
      </c>
      <c r="O39" s="44">
        <v>5</v>
      </c>
      <c r="P39" s="44">
        <v>0</v>
      </c>
      <c r="Q39" s="44">
        <v>0</v>
      </c>
      <c r="R39" s="45">
        <v>0</v>
      </c>
      <c r="S39" s="42">
        <v>0</v>
      </c>
      <c r="T39" s="48">
        <v>220000</v>
      </c>
      <c r="U39" s="42">
        <v>22000</v>
      </c>
      <c r="V39" s="46">
        <v>198000</v>
      </c>
      <c r="W39" s="46">
        <v>1760000</v>
      </c>
      <c r="X39" s="59">
        <f>Table1617[[#This Row],[YTD Professional Fee]]*10%</f>
        <v>176000</v>
      </c>
      <c r="Y39" s="58" t="s">
        <v>522</v>
      </c>
      <c r="Z39" s="60"/>
    </row>
    <row r="40" spans="1:26" x14ac:dyDescent="0.35">
      <c r="A40" s="41" t="s">
        <v>116</v>
      </c>
      <c r="B40" s="8" t="s">
        <v>63</v>
      </c>
      <c r="C40" s="42">
        <v>138740</v>
      </c>
      <c r="D40" s="9">
        <v>45841</v>
      </c>
      <c r="E40" s="43" t="s">
        <v>468</v>
      </c>
      <c r="F40" s="43" t="s">
        <v>120</v>
      </c>
      <c r="G40" s="10" t="s">
        <v>127</v>
      </c>
      <c r="H40" s="10" t="s">
        <v>163</v>
      </c>
      <c r="I40" s="12" t="s">
        <v>193</v>
      </c>
      <c r="J40" s="11" t="s">
        <v>242</v>
      </c>
      <c r="K40" s="10" t="s">
        <v>319</v>
      </c>
      <c r="L40" s="10" t="s">
        <v>405</v>
      </c>
      <c r="M40" s="13">
        <v>31</v>
      </c>
      <c r="N40" s="14">
        <v>31</v>
      </c>
      <c r="O40" s="44">
        <v>5</v>
      </c>
      <c r="P40" s="44">
        <v>0</v>
      </c>
      <c r="Q40" s="44">
        <v>0</v>
      </c>
      <c r="R40" s="45">
        <v>1</v>
      </c>
      <c r="S40" s="42">
        <v>0</v>
      </c>
      <c r="T40" s="48">
        <v>725000</v>
      </c>
      <c r="U40" s="42">
        <v>72500</v>
      </c>
      <c r="V40" s="46">
        <v>652500</v>
      </c>
      <c r="W40" s="46">
        <v>5800000</v>
      </c>
      <c r="X40" s="59">
        <f>Table1617[[#This Row],[YTD Professional Fee]]*10%</f>
        <v>580000</v>
      </c>
      <c r="Y40" s="47" t="s">
        <v>507</v>
      </c>
      <c r="Z40" s="60"/>
    </row>
    <row r="41" spans="1:26" x14ac:dyDescent="0.35">
      <c r="A41" s="41" t="s">
        <v>116</v>
      </c>
      <c r="B41" s="8" t="s">
        <v>64</v>
      </c>
      <c r="C41" s="50">
        <v>142417</v>
      </c>
      <c r="D41" s="9">
        <v>45848</v>
      </c>
      <c r="E41" s="43" t="s">
        <v>468</v>
      </c>
      <c r="F41" s="43" t="s">
        <v>120</v>
      </c>
      <c r="G41" s="10" t="s">
        <v>124</v>
      </c>
      <c r="H41" s="10" t="s">
        <v>164</v>
      </c>
      <c r="I41" s="12" t="s">
        <v>190</v>
      </c>
      <c r="J41" s="11" t="s">
        <v>243</v>
      </c>
      <c r="K41" s="10" t="s">
        <v>320</v>
      </c>
      <c r="L41" s="10" t="s">
        <v>406</v>
      </c>
      <c r="M41" s="13">
        <v>31</v>
      </c>
      <c r="N41" s="14">
        <v>31</v>
      </c>
      <c r="O41" s="44">
        <v>5</v>
      </c>
      <c r="P41" s="44">
        <v>0</v>
      </c>
      <c r="Q41" s="44">
        <v>0</v>
      </c>
      <c r="R41" s="45">
        <v>2</v>
      </c>
      <c r="S41" s="42">
        <v>0</v>
      </c>
      <c r="T41" s="48">
        <v>300000</v>
      </c>
      <c r="U41" s="42">
        <v>30000</v>
      </c>
      <c r="V41" s="46">
        <v>270000</v>
      </c>
      <c r="W41" s="46">
        <v>2400000</v>
      </c>
      <c r="X41" s="59">
        <f>Table1617[[#This Row],[YTD Professional Fee]]*10%</f>
        <v>240000</v>
      </c>
      <c r="Y41" s="47" t="s">
        <v>508</v>
      </c>
      <c r="Z41" s="60"/>
    </row>
    <row r="42" spans="1:26" x14ac:dyDescent="0.35">
      <c r="A42" s="41" t="s">
        <v>116</v>
      </c>
      <c r="B42" s="8" t="s">
        <v>65</v>
      </c>
      <c r="C42" s="50">
        <v>142407</v>
      </c>
      <c r="D42" s="9">
        <v>45852</v>
      </c>
      <c r="E42" s="43" t="s">
        <v>468</v>
      </c>
      <c r="F42" s="43" t="s">
        <v>120</v>
      </c>
      <c r="G42" s="10" t="s">
        <v>127</v>
      </c>
      <c r="H42" s="10" t="s">
        <v>165</v>
      </c>
      <c r="I42" s="12" t="s">
        <v>191</v>
      </c>
      <c r="J42" s="11" t="s">
        <v>244</v>
      </c>
      <c r="K42" s="10" t="s">
        <v>321</v>
      </c>
      <c r="L42" s="10" t="s">
        <v>407</v>
      </c>
      <c r="M42" s="13">
        <v>31</v>
      </c>
      <c r="N42" s="14">
        <v>31</v>
      </c>
      <c r="O42" s="44">
        <v>5</v>
      </c>
      <c r="P42" s="44">
        <v>0</v>
      </c>
      <c r="Q42" s="44">
        <v>0</v>
      </c>
      <c r="R42" s="45">
        <v>0</v>
      </c>
      <c r="S42" s="42">
        <v>0</v>
      </c>
      <c r="T42" s="48">
        <v>750000</v>
      </c>
      <c r="U42" s="42">
        <v>75000</v>
      </c>
      <c r="V42" s="46">
        <v>675000</v>
      </c>
      <c r="W42" s="46">
        <v>6000000</v>
      </c>
      <c r="X42" s="59">
        <f>Table1617[[#This Row],[YTD Professional Fee]]*10%</f>
        <v>600000</v>
      </c>
      <c r="Y42" s="47" t="s">
        <v>461</v>
      </c>
      <c r="Z42" s="60"/>
    </row>
    <row r="43" spans="1:26" x14ac:dyDescent="0.35">
      <c r="A43" s="41" t="s">
        <v>116</v>
      </c>
      <c r="B43" s="16" t="s">
        <v>66</v>
      </c>
      <c r="C43" s="50">
        <v>142401</v>
      </c>
      <c r="D43" s="21">
        <v>45836</v>
      </c>
      <c r="E43" s="43" t="s">
        <v>468</v>
      </c>
      <c r="F43" s="43" t="s">
        <v>120</v>
      </c>
      <c r="G43" s="22" t="s">
        <v>127</v>
      </c>
      <c r="H43" s="22" t="s">
        <v>148</v>
      </c>
      <c r="I43" s="23" t="s">
        <v>200</v>
      </c>
      <c r="J43" s="24">
        <v>10185798615</v>
      </c>
      <c r="K43" s="22" t="s">
        <v>322</v>
      </c>
      <c r="L43" s="22" t="s">
        <v>408</v>
      </c>
      <c r="M43" s="25">
        <v>31</v>
      </c>
      <c r="N43" s="26">
        <v>11</v>
      </c>
      <c r="O43" s="44">
        <v>5</v>
      </c>
      <c r="P43" s="44">
        <v>0</v>
      </c>
      <c r="Q43" s="44">
        <v>0</v>
      </c>
      <c r="R43" s="45">
        <v>0</v>
      </c>
      <c r="S43" s="42">
        <v>0</v>
      </c>
      <c r="T43" s="48">
        <v>159677.4193548387</v>
      </c>
      <c r="U43" s="42">
        <v>15967.741935483871</v>
      </c>
      <c r="V43" s="46">
        <v>143709.67741935482</v>
      </c>
      <c r="W43" s="46">
        <v>3309677.4193548388</v>
      </c>
      <c r="X43" s="59">
        <f>Table1617[[#This Row],[YTD Professional Fee]]*10%</f>
        <v>330967.74193548388</v>
      </c>
      <c r="Y43" s="57" t="s">
        <v>462</v>
      </c>
      <c r="Z43" s="60"/>
    </row>
    <row r="44" spans="1:26" x14ac:dyDescent="0.35">
      <c r="A44" s="41" t="s">
        <v>116</v>
      </c>
      <c r="B44" s="8" t="s">
        <v>67</v>
      </c>
      <c r="C44" s="42"/>
      <c r="D44" s="17">
        <v>45302</v>
      </c>
      <c r="E44" s="43" t="s">
        <v>468</v>
      </c>
      <c r="F44" s="43" t="s">
        <v>120</v>
      </c>
      <c r="G44" s="10" t="s">
        <v>124</v>
      </c>
      <c r="H44" s="10" t="s">
        <v>144</v>
      </c>
      <c r="I44" s="12" t="s">
        <v>191</v>
      </c>
      <c r="J44" s="11" t="s">
        <v>245</v>
      </c>
      <c r="K44" s="10" t="s">
        <v>323</v>
      </c>
      <c r="L44" s="6" t="s">
        <v>409</v>
      </c>
      <c r="M44" s="13">
        <v>31</v>
      </c>
      <c r="N44" s="14">
        <v>31</v>
      </c>
      <c r="O44" s="44">
        <v>5</v>
      </c>
      <c r="P44" s="44">
        <v>0</v>
      </c>
      <c r="Q44" s="44">
        <v>0</v>
      </c>
      <c r="R44" s="45">
        <v>0</v>
      </c>
      <c r="S44" s="42">
        <v>0</v>
      </c>
      <c r="T44" s="48">
        <v>195000</v>
      </c>
      <c r="U44" s="42">
        <v>19500</v>
      </c>
      <c r="V44" s="46">
        <v>175500</v>
      </c>
      <c r="W44" s="46">
        <v>1560000</v>
      </c>
      <c r="X44" s="59">
        <f>Table1617[[#This Row],[YTD Professional Fee]]*10%</f>
        <v>156000</v>
      </c>
      <c r="Y44" s="47" t="s">
        <v>463</v>
      </c>
      <c r="Z44" s="60"/>
    </row>
    <row r="45" spans="1:26" x14ac:dyDescent="0.35">
      <c r="A45" s="41" t="s">
        <v>116</v>
      </c>
      <c r="B45" s="8" t="s">
        <v>68</v>
      </c>
      <c r="C45" s="50">
        <v>142399</v>
      </c>
      <c r="D45" s="17">
        <v>45901</v>
      </c>
      <c r="E45" s="43" t="s">
        <v>468</v>
      </c>
      <c r="F45" s="43" t="s">
        <v>120</v>
      </c>
      <c r="G45" s="10" t="s">
        <v>124</v>
      </c>
      <c r="H45" s="10" t="s">
        <v>166</v>
      </c>
      <c r="I45" s="12" t="s">
        <v>193</v>
      </c>
      <c r="J45" s="11" t="s">
        <v>246</v>
      </c>
      <c r="K45" s="10" t="s">
        <v>296</v>
      </c>
      <c r="L45" s="6" t="s">
        <v>410</v>
      </c>
      <c r="M45" s="13">
        <v>31</v>
      </c>
      <c r="N45" s="14">
        <v>31</v>
      </c>
      <c r="O45" s="44">
        <v>5</v>
      </c>
      <c r="P45" s="44">
        <v>0</v>
      </c>
      <c r="Q45" s="44">
        <v>0</v>
      </c>
      <c r="R45" s="45">
        <v>1</v>
      </c>
      <c r="S45" s="42">
        <v>0</v>
      </c>
      <c r="T45" s="48">
        <v>500000</v>
      </c>
      <c r="U45" s="42">
        <v>50000</v>
      </c>
      <c r="V45" s="46">
        <v>450000</v>
      </c>
      <c r="W45" s="46">
        <v>4000000</v>
      </c>
      <c r="X45" s="59">
        <f>Table1617[[#This Row],[YTD Professional Fee]]*10%</f>
        <v>400000</v>
      </c>
      <c r="Y45" s="47" t="s">
        <v>509</v>
      </c>
      <c r="Z45" s="60"/>
    </row>
    <row r="46" spans="1:26" x14ac:dyDescent="0.35">
      <c r="A46" s="41" t="s">
        <v>116</v>
      </c>
      <c r="B46" s="7" t="s">
        <v>69</v>
      </c>
      <c r="C46" s="50">
        <v>142398</v>
      </c>
      <c r="D46" s="17" t="s">
        <v>117</v>
      </c>
      <c r="E46" s="43" t="s">
        <v>468</v>
      </c>
      <c r="F46" s="43" t="s">
        <v>120</v>
      </c>
      <c r="G46" s="7" t="s">
        <v>134</v>
      </c>
      <c r="H46" s="7" t="s">
        <v>167</v>
      </c>
      <c r="I46" s="7" t="s">
        <v>190</v>
      </c>
      <c r="J46" s="27" t="s">
        <v>247</v>
      </c>
      <c r="K46" s="7" t="s">
        <v>324</v>
      </c>
      <c r="L46" s="7" t="s">
        <v>411</v>
      </c>
      <c r="M46" s="13">
        <v>31</v>
      </c>
      <c r="N46" s="14">
        <v>31</v>
      </c>
      <c r="O46" s="44">
        <v>5</v>
      </c>
      <c r="P46" s="44">
        <v>0</v>
      </c>
      <c r="Q46" s="44">
        <v>0</v>
      </c>
      <c r="R46" s="45">
        <v>4</v>
      </c>
      <c r="S46" s="42">
        <v>0</v>
      </c>
      <c r="T46" s="48">
        <v>425000</v>
      </c>
      <c r="U46" s="42">
        <v>42500</v>
      </c>
      <c r="V46" s="46">
        <v>382500</v>
      </c>
      <c r="W46" s="46">
        <v>3400000</v>
      </c>
      <c r="X46" s="59">
        <f>Table1617[[#This Row],[YTD Professional Fee]]*10%</f>
        <v>340000</v>
      </c>
      <c r="Y46" s="47" t="s">
        <v>510</v>
      </c>
      <c r="Z46" s="60"/>
    </row>
    <row r="47" spans="1:26" x14ac:dyDescent="0.35">
      <c r="A47" s="41" t="s">
        <v>116</v>
      </c>
      <c r="B47" s="7" t="s">
        <v>70</v>
      </c>
      <c r="C47" s="50">
        <v>142397</v>
      </c>
      <c r="D47" s="17" t="s">
        <v>117</v>
      </c>
      <c r="E47" s="43" t="s">
        <v>468</v>
      </c>
      <c r="F47" s="43" t="s">
        <v>120</v>
      </c>
      <c r="G47" s="7" t="s">
        <v>127</v>
      </c>
      <c r="H47" s="7" t="s">
        <v>167</v>
      </c>
      <c r="I47" s="7" t="s">
        <v>191</v>
      </c>
      <c r="J47" s="27" t="s">
        <v>248</v>
      </c>
      <c r="K47" s="7" t="s">
        <v>325</v>
      </c>
      <c r="L47" s="7" t="s">
        <v>412</v>
      </c>
      <c r="M47" s="13">
        <v>31</v>
      </c>
      <c r="N47" s="14">
        <v>31</v>
      </c>
      <c r="O47" s="44">
        <v>5</v>
      </c>
      <c r="P47" s="44">
        <v>0</v>
      </c>
      <c r="Q47" s="44">
        <v>0</v>
      </c>
      <c r="R47" s="45">
        <v>0</v>
      </c>
      <c r="S47" s="42">
        <v>0</v>
      </c>
      <c r="T47" s="48">
        <v>750000</v>
      </c>
      <c r="U47" s="42">
        <v>75000</v>
      </c>
      <c r="V47" s="46">
        <v>675000</v>
      </c>
      <c r="W47" s="46">
        <v>6000000</v>
      </c>
      <c r="X47" s="59">
        <f>Table1617[[#This Row],[YTD Professional Fee]]*10%</f>
        <v>600000</v>
      </c>
      <c r="Y47" s="47" t="s">
        <v>511</v>
      </c>
      <c r="Z47" s="60"/>
    </row>
    <row r="48" spans="1:26" x14ac:dyDescent="0.35">
      <c r="A48" s="41" t="s">
        <v>116</v>
      </c>
      <c r="B48" s="7" t="s">
        <v>71</v>
      </c>
      <c r="C48" s="50">
        <v>137835</v>
      </c>
      <c r="D48" s="17" t="s">
        <v>118</v>
      </c>
      <c r="E48" s="43" t="s">
        <v>468</v>
      </c>
      <c r="F48" s="43" t="s">
        <v>120</v>
      </c>
      <c r="G48" s="7" t="s">
        <v>133</v>
      </c>
      <c r="H48" s="7" t="s">
        <v>168</v>
      </c>
      <c r="I48" s="7" t="s">
        <v>191</v>
      </c>
      <c r="J48" s="27" t="s">
        <v>249</v>
      </c>
      <c r="K48" s="7" t="s">
        <v>326</v>
      </c>
      <c r="L48" s="7" t="s">
        <v>413</v>
      </c>
      <c r="M48" s="13">
        <v>31</v>
      </c>
      <c r="N48" s="14">
        <v>31</v>
      </c>
      <c r="O48" s="44">
        <v>5</v>
      </c>
      <c r="P48" s="44">
        <v>0</v>
      </c>
      <c r="Q48" s="44">
        <v>0</v>
      </c>
      <c r="R48" s="45">
        <v>0</v>
      </c>
      <c r="S48" s="42">
        <v>0</v>
      </c>
      <c r="T48" s="48">
        <v>500000</v>
      </c>
      <c r="U48" s="42">
        <v>50000</v>
      </c>
      <c r="V48" s="46">
        <v>450000</v>
      </c>
      <c r="W48" s="46">
        <v>4000000</v>
      </c>
      <c r="X48" s="59">
        <f>Table1617[[#This Row],[YTD Professional Fee]]*10%</f>
        <v>400000</v>
      </c>
      <c r="Y48" s="47" t="s">
        <v>512</v>
      </c>
      <c r="Z48" s="60"/>
    </row>
    <row r="49" spans="1:27" x14ac:dyDescent="0.35">
      <c r="A49" s="41" t="s">
        <v>116</v>
      </c>
      <c r="B49" s="6" t="s">
        <v>72</v>
      </c>
      <c r="C49" s="50">
        <v>122395</v>
      </c>
      <c r="D49" s="18">
        <v>45086</v>
      </c>
      <c r="E49" s="43" t="s">
        <v>468</v>
      </c>
      <c r="F49" s="43" t="s">
        <v>120</v>
      </c>
      <c r="G49" s="19" t="s">
        <v>131</v>
      </c>
      <c r="H49" s="19" t="s">
        <v>166</v>
      </c>
      <c r="I49" s="6" t="s">
        <v>193</v>
      </c>
      <c r="J49" s="15">
        <v>923010007261175</v>
      </c>
      <c r="K49" s="6" t="s">
        <v>327</v>
      </c>
      <c r="L49" s="6" t="s">
        <v>414</v>
      </c>
      <c r="M49" s="13">
        <v>31</v>
      </c>
      <c r="N49" s="14">
        <v>31</v>
      </c>
      <c r="O49" s="44">
        <v>5</v>
      </c>
      <c r="P49" s="44">
        <v>0</v>
      </c>
      <c r="Q49" s="44">
        <v>0</v>
      </c>
      <c r="R49" s="45">
        <v>6</v>
      </c>
      <c r="S49" s="42">
        <v>0</v>
      </c>
      <c r="T49" s="48">
        <v>180000</v>
      </c>
      <c r="U49" s="42">
        <v>18000</v>
      </c>
      <c r="V49" s="46">
        <v>162000</v>
      </c>
      <c r="W49" s="46">
        <v>1632000</v>
      </c>
      <c r="X49" s="59">
        <f>Table1617[[#This Row],[YTD Professional Fee]]*10%</f>
        <v>163200</v>
      </c>
      <c r="Y49" s="47" t="s">
        <v>513</v>
      </c>
      <c r="Z49" s="60"/>
    </row>
    <row r="50" spans="1:27" x14ac:dyDescent="0.35">
      <c r="A50" s="41" t="s">
        <v>116</v>
      </c>
      <c r="B50" s="6" t="s">
        <v>73</v>
      </c>
      <c r="C50" s="42">
        <v>142429</v>
      </c>
      <c r="D50" s="18">
        <v>45964</v>
      </c>
      <c r="E50" s="43" t="s">
        <v>468</v>
      </c>
      <c r="F50" s="43" t="s">
        <v>120</v>
      </c>
      <c r="G50" s="19" t="s">
        <v>130</v>
      </c>
      <c r="H50" s="19" t="s">
        <v>169</v>
      </c>
      <c r="I50" s="6" t="s">
        <v>194</v>
      </c>
      <c r="J50" s="15">
        <v>10848540845</v>
      </c>
      <c r="K50" s="6" t="s">
        <v>328</v>
      </c>
      <c r="L50" s="6" t="s">
        <v>415</v>
      </c>
      <c r="M50" s="13">
        <v>31</v>
      </c>
      <c r="N50" s="14">
        <v>31</v>
      </c>
      <c r="O50" s="44">
        <v>5</v>
      </c>
      <c r="P50" s="44">
        <v>0</v>
      </c>
      <c r="Q50" s="44">
        <v>0</v>
      </c>
      <c r="R50" s="45">
        <v>2</v>
      </c>
      <c r="S50" s="42">
        <v>0</v>
      </c>
      <c r="T50" s="48">
        <v>1000000</v>
      </c>
      <c r="U50" s="42">
        <v>100000</v>
      </c>
      <c r="V50" s="46">
        <v>900000</v>
      </c>
      <c r="W50" s="46">
        <v>8000000</v>
      </c>
      <c r="X50" s="59">
        <f>Table1617[[#This Row],[YTD Professional Fee]]*10%</f>
        <v>800000</v>
      </c>
      <c r="Y50" s="47" t="s">
        <v>464</v>
      </c>
      <c r="Z50" s="47"/>
    </row>
    <row r="51" spans="1:27" x14ac:dyDescent="0.35">
      <c r="A51" s="41" t="s">
        <v>116</v>
      </c>
      <c r="B51" s="6" t="s">
        <v>74</v>
      </c>
      <c r="C51" s="50">
        <v>142428</v>
      </c>
      <c r="D51" s="18">
        <v>45964</v>
      </c>
      <c r="E51" s="43" t="s">
        <v>468</v>
      </c>
      <c r="F51" s="43" t="s">
        <v>120</v>
      </c>
      <c r="G51" s="19" t="s">
        <v>127</v>
      </c>
      <c r="H51" s="19" t="s">
        <v>157</v>
      </c>
      <c r="I51" s="6" t="s">
        <v>201</v>
      </c>
      <c r="J51" s="20" t="s">
        <v>250</v>
      </c>
      <c r="K51" s="6" t="s">
        <v>329</v>
      </c>
      <c r="L51" s="6" t="s">
        <v>416</v>
      </c>
      <c r="M51" s="13">
        <v>31</v>
      </c>
      <c r="N51" s="14">
        <v>31</v>
      </c>
      <c r="O51" s="44">
        <v>5</v>
      </c>
      <c r="P51" s="44">
        <v>0</v>
      </c>
      <c r="Q51" s="44">
        <v>0</v>
      </c>
      <c r="R51" s="45">
        <v>1</v>
      </c>
      <c r="S51" s="42">
        <v>0</v>
      </c>
      <c r="T51" s="48">
        <v>600000</v>
      </c>
      <c r="U51" s="42">
        <v>60000</v>
      </c>
      <c r="V51" s="46">
        <v>540000</v>
      </c>
      <c r="W51" s="46">
        <v>4800000</v>
      </c>
      <c r="X51" s="59">
        <f>Table1617[[#This Row],[YTD Professional Fee]]*10%</f>
        <v>480000</v>
      </c>
      <c r="Y51" s="47" t="s">
        <v>465</v>
      </c>
      <c r="Z51" s="47"/>
    </row>
    <row r="52" spans="1:27" x14ac:dyDescent="0.35">
      <c r="A52" s="41" t="s">
        <v>116</v>
      </c>
      <c r="B52" s="6" t="s">
        <v>75</v>
      </c>
      <c r="C52" s="50">
        <v>142426</v>
      </c>
      <c r="D52" s="18">
        <v>45956</v>
      </c>
      <c r="E52" s="43" t="s">
        <v>468</v>
      </c>
      <c r="F52" s="43" t="s">
        <v>120</v>
      </c>
      <c r="G52" s="19" t="s">
        <v>124</v>
      </c>
      <c r="H52" s="19" t="s">
        <v>139</v>
      </c>
      <c r="I52" s="6" t="s">
        <v>194</v>
      </c>
      <c r="J52" s="20" t="s">
        <v>251</v>
      </c>
      <c r="K52" s="6" t="s">
        <v>330</v>
      </c>
      <c r="L52" s="6" t="s">
        <v>417</v>
      </c>
      <c r="M52" s="13">
        <v>31</v>
      </c>
      <c r="N52" s="14">
        <v>31</v>
      </c>
      <c r="O52" s="44">
        <v>5</v>
      </c>
      <c r="P52" s="44">
        <v>0</v>
      </c>
      <c r="Q52" s="44">
        <v>0</v>
      </c>
      <c r="R52" s="45">
        <v>0</v>
      </c>
      <c r="S52" s="42">
        <v>0</v>
      </c>
      <c r="T52" s="48">
        <v>220000</v>
      </c>
      <c r="U52" s="42">
        <v>22000</v>
      </c>
      <c r="V52" s="46">
        <v>198000</v>
      </c>
      <c r="W52" s="46">
        <v>1760000</v>
      </c>
      <c r="X52" s="59">
        <f>Table1617[[#This Row],[YTD Professional Fee]]*10%</f>
        <v>176000</v>
      </c>
      <c r="Y52" s="58" t="s">
        <v>523</v>
      </c>
      <c r="Z52" s="60"/>
    </row>
    <row r="53" spans="1:27" x14ac:dyDescent="0.35">
      <c r="A53" s="41" t="s">
        <v>116</v>
      </c>
      <c r="B53" s="6" t="s">
        <v>76</v>
      </c>
      <c r="C53" s="50">
        <v>142423</v>
      </c>
      <c r="D53" s="18">
        <v>45967</v>
      </c>
      <c r="E53" s="43" t="s">
        <v>468</v>
      </c>
      <c r="F53" s="43" t="s">
        <v>120</v>
      </c>
      <c r="G53" s="19" t="s">
        <v>124</v>
      </c>
      <c r="H53" s="19" t="s">
        <v>139</v>
      </c>
      <c r="I53" s="6" t="s">
        <v>190</v>
      </c>
      <c r="J53" s="20" t="s">
        <v>252</v>
      </c>
      <c r="K53" s="6" t="s">
        <v>331</v>
      </c>
      <c r="L53" s="6" t="s">
        <v>418</v>
      </c>
      <c r="M53" s="13">
        <v>31</v>
      </c>
      <c r="N53" s="14">
        <v>31</v>
      </c>
      <c r="O53" s="44">
        <v>5</v>
      </c>
      <c r="P53" s="44">
        <v>0</v>
      </c>
      <c r="Q53" s="44">
        <v>0</v>
      </c>
      <c r="R53" s="45">
        <v>0</v>
      </c>
      <c r="S53" s="42">
        <v>0</v>
      </c>
      <c r="T53" s="48">
        <v>260000.00000000003</v>
      </c>
      <c r="U53" s="42">
        <v>26000.000000000004</v>
      </c>
      <c r="V53" s="46">
        <v>234000.00000000003</v>
      </c>
      <c r="W53" s="46">
        <v>2080000</v>
      </c>
      <c r="X53" s="59">
        <f>Table1617[[#This Row],[YTD Professional Fee]]*10%</f>
        <v>208000</v>
      </c>
      <c r="Y53" s="47" t="s">
        <v>514</v>
      </c>
      <c r="Z53" s="60"/>
    </row>
    <row r="54" spans="1:27" x14ac:dyDescent="0.35">
      <c r="A54" s="41" t="s">
        <v>116</v>
      </c>
      <c r="B54" s="6" t="s">
        <v>77</v>
      </c>
      <c r="C54" s="50">
        <v>142422</v>
      </c>
      <c r="D54" s="18">
        <v>45986</v>
      </c>
      <c r="E54" s="43" t="s">
        <v>468</v>
      </c>
      <c r="F54" s="43" t="s">
        <v>120</v>
      </c>
      <c r="G54" s="19" t="s">
        <v>131</v>
      </c>
      <c r="H54" s="19" t="s">
        <v>170</v>
      </c>
      <c r="I54" s="6" t="s">
        <v>192</v>
      </c>
      <c r="J54" s="20" t="s">
        <v>253</v>
      </c>
      <c r="K54" s="6" t="s">
        <v>332</v>
      </c>
      <c r="L54" s="6" t="s">
        <v>419</v>
      </c>
      <c r="M54" s="13">
        <v>31</v>
      </c>
      <c r="N54" s="14">
        <v>31</v>
      </c>
      <c r="O54" s="44">
        <v>5</v>
      </c>
      <c r="P54" s="44">
        <v>0</v>
      </c>
      <c r="Q54" s="44">
        <v>0</v>
      </c>
      <c r="R54" s="45">
        <v>0</v>
      </c>
      <c r="S54" s="42">
        <v>0</v>
      </c>
      <c r="T54" s="48">
        <v>230000</v>
      </c>
      <c r="U54" s="42">
        <v>23000</v>
      </c>
      <c r="V54" s="46">
        <v>207000</v>
      </c>
      <c r="W54" s="46">
        <v>1812667</v>
      </c>
      <c r="X54" s="59">
        <f>Table1617[[#This Row],[YTD Professional Fee]]*10%</f>
        <v>181266.7</v>
      </c>
      <c r="Y54" s="47" t="s">
        <v>515</v>
      </c>
      <c r="Z54" s="60"/>
    </row>
    <row r="55" spans="1:27" x14ac:dyDescent="0.35">
      <c r="A55" s="41" t="s">
        <v>116</v>
      </c>
      <c r="B55" s="6" t="s">
        <v>78</v>
      </c>
      <c r="C55" s="42">
        <v>142419</v>
      </c>
      <c r="D55" s="51">
        <v>45989</v>
      </c>
      <c r="E55" s="43" t="s">
        <v>468</v>
      </c>
      <c r="F55" s="43" t="s">
        <v>120</v>
      </c>
      <c r="G55" s="7" t="s">
        <v>124</v>
      </c>
      <c r="H55" s="19" t="s">
        <v>171</v>
      </c>
      <c r="I55" s="28" t="s">
        <v>202</v>
      </c>
      <c r="J55" s="29" t="s">
        <v>254</v>
      </c>
      <c r="K55" s="6" t="s">
        <v>333</v>
      </c>
      <c r="L55" s="28" t="s">
        <v>420</v>
      </c>
      <c r="M55" s="13">
        <v>31</v>
      </c>
      <c r="N55" s="14">
        <v>31</v>
      </c>
      <c r="O55" s="44">
        <v>5</v>
      </c>
      <c r="P55" s="44">
        <v>0</v>
      </c>
      <c r="Q55" s="44">
        <v>0</v>
      </c>
      <c r="R55" s="45">
        <v>0</v>
      </c>
      <c r="S55" s="42">
        <v>0</v>
      </c>
      <c r="T55" s="48">
        <v>350000</v>
      </c>
      <c r="U55" s="42">
        <v>35000</v>
      </c>
      <c r="V55" s="46">
        <v>315000</v>
      </c>
      <c r="W55" s="46">
        <v>2800000</v>
      </c>
      <c r="X55" s="59">
        <f>Table1617[[#This Row],[YTD Professional Fee]]*10%</f>
        <v>280000</v>
      </c>
      <c r="Y55" s="47" t="s">
        <v>516</v>
      </c>
      <c r="Z55" s="60"/>
    </row>
    <row r="56" spans="1:27" x14ac:dyDescent="0.35">
      <c r="A56" s="41" t="s">
        <v>116</v>
      </c>
      <c r="B56" s="6" t="s">
        <v>79</v>
      </c>
      <c r="C56" s="50">
        <v>142699</v>
      </c>
      <c r="D56" s="52" t="s">
        <v>119</v>
      </c>
      <c r="E56" s="43" t="s">
        <v>468</v>
      </c>
      <c r="F56" s="43" t="s">
        <v>120</v>
      </c>
      <c r="G56" s="7" t="s">
        <v>124</v>
      </c>
      <c r="H56" s="19" t="s">
        <v>172</v>
      </c>
      <c r="I56" s="28" t="s">
        <v>194</v>
      </c>
      <c r="J56" s="29" t="s">
        <v>255</v>
      </c>
      <c r="K56" s="6" t="s">
        <v>334</v>
      </c>
      <c r="L56" s="28" t="s">
        <v>421</v>
      </c>
      <c r="M56" s="13">
        <v>31</v>
      </c>
      <c r="N56" s="14">
        <v>31</v>
      </c>
      <c r="O56" s="44">
        <v>5</v>
      </c>
      <c r="P56" s="44">
        <v>0</v>
      </c>
      <c r="Q56" s="44">
        <v>0</v>
      </c>
      <c r="R56" s="45">
        <v>2</v>
      </c>
      <c r="S56" s="42">
        <v>0</v>
      </c>
      <c r="T56" s="48">
        <v>350000</v>
      </c>
      <c r="U56" s="42">
        <v>35000</v>
      </c>
      <c r="V56" s="46">
        <v>315000</v>
      </c>
      <c r="W56" s="46">
        <v>2800000</v>
      </c>
      <c r="X56" s="59">
        <f>Table1617[[#This Row],[YTD Professional Fee]]*10%</f>
        <v>280000</v>
      </c>
      <c r="Y56" s="47" t="s">
        <v>517</v>
      </c>
      <c r="Z56" s="60"/>
    </row>
    <row r="57" spans="1:27" x14ac:dyDescent="0.35">
      <c r="A57" s="41" t="s">
        <v>116</v>
      </c>
      <c r="B57" s="6" t="s">
        <v>80</v>
      </c>
      <c r="C57" s="50">
        <v>142436</v>
      </c>
      <c r="D57" s="51">
        <v>45999</v>
      </c>
      <c r="E57" s="43" t="s">
        <v>468</v>
      </c>
      <c r="F57" s="43" t="s">
        <v>120</v>
      </c>
      <c r="G57" s="7" t="s">
        <v>124</v>
      </c>
      <c r="H57" s="19" t="s">
        <v>171</v>
      </c>
      <c r="I57" s="28" t="s">
        <v>202</v>
      </c>
      <c r="J57" s="29" t="s">
        <v>256</v>
      </c>
      <c r="K57" s="6" t="s">
        <v>335</v>
      </c>
      <c r="L57" s="28" t="s">
        <v>422</v>
      </c>
      <c r="M57" s="13">
        <v>31</v>
      </c>
      <c r="N57" s="14">
        <v>31</v>
      </c>
      <c r="O57" s="44">
        <v>5</v>
      </c>
      <c r="P57" s="44">
        <v>0</v>
      </c>
      <c r="Q57" s="44">
        <v>0</v>
      </c>
      <c r="R57" s="45">
        <v>0</v>
      </c>
      <c r="S57" s="42">
        <v>0</v>
      </c>
      <c r="T57" s="48">
        <v>250000</v>
      </c>
      <c r="U57" s="42">
        <v>25000</v>
      </c>
      <c r="V57" s="46">
        <v>225000</v>
      </c>
      <c r="W57" s="46">
        <v>2000000</v>
      </c>
      <c r="X57" s="59">
        <f>Table1617[[#This Row],[YTD Professional Fee]]*10%</f>
        <v>200000</v>
      </c>
      <c r="Y57" s="47" t="s">
        <v>518</v>
      </c>
      <c r="Z57" s="60"/>
    </row>
    <row r="58" spans="1:27" x14ac:dyDescent="0.35">
      <c r="A58" s="41" t="s">
        <v>116</v>
      </c>
      <c r="B58" s="6" t="s">
        <v>81</v>
      </c>
      <c r="C58" s="50">
        <v>142435</v>
      </c>
      <c r="D58" s="51">
        <v>46027</v>
      </c>
      <c r="E58" s="43" t="s">
        <v>468</v>
      </c>
      <c r="F58" s="43" t="s">
        <v>120</v>
      </c>
      <c r="G58" s="7" t="s">
        <v>124</v>
      </c>
      <c r="H58" s="19" t="s">
        <v>173</v>
      </c>
      <c r="I58" s="28" t="s">
        <v>191</v>
      </c>
      <c r="J58" s="29" t="s">
        <v>257</v>
      </c>
      <c r="K58" s="6" t="s">
        <v>336</v>
      </c>
      <c r="L58" s="28" t="s">
        <v>423</v>
      </c>
      <c r="M58" s="13">
        <v>31</v>
      </c>
      <c r="N58" s="14">
        <v>31</v>
      </c>
      <c r="O58" s="44">
        <v>5</v>
      </c>
      <c r="P58" s="44">
        <v>0</v>
      </c>
      <c r="Q58" s="44">
        <v>0</v>
      </c>
      <c r="R58" s="45">
        <v>1</v>
      </c>
      <c r="S58" s="42">
        <v>0</v>
      </c>
      <c r="T58" s="48">
        <v>220000</v>
      </c>
      <c r="U58" s="42">
        <v>22000</v>
      </c>
      <c r="V58" s="46">
        <v>198000</v>
      </c>
      <c r="W58" s="46">
        <v>1689032.2580645161</v>
      </c>
      <c r="X58" s="59">
        <f>Table1617[[#This Row],[YTD Professional Fee]]*10%</f>
        <v>168903.22580645164</v>
      </c>
      <c r="Y58" s="47" t="e">
        <v>#N/A</v>
      </c>
      <c r="Z58" s="60"/>
      <c r="AA58" s="61"/>
    </row>
    <row r="59" spans="1:27" x14ac:dyDescent="0.35">
      <c r="A59" s="41" t="s">
        <v>116</v>
      </c>
      <c r="B59" s="6" t="s">
        <v>82</v>
      </c>
      <c r="C59" s="50">
        <v>142434</v>
      </c>
      <c r="D59" s="51">
        <v>46023</v>
      </c>
      <c r="E59" s="43" t="s">
        <v>468</v>
      </c>
      <c r="F59" s="43" t="s">
        <v>120</v>
      </c>
      <c r="G59" s="7" t="s">
        <v>124</v>
      </c>
      <c r="H59" s="19" t="s">
        <v>142</v>
      </c>
      <c r="I59" s="28" t="s">
        <v>193</v>
      </c>
      <c r="J59" s="29" t="s">
        <v>258</v>
      </c>
      <c r="K59" s="6" t="s">
        <v>337</v>
      </c>
      <c r="L59" s="28" t="s">
        <v>424</v>
      </c>
      <c r="M59" s="13">
        <v>31</v>
      </c>
      <c r="N59" s="14">
        <v>31</v>
      </c>
      <c r="O59" s="44">
        <v>5</v>
      </c>
      <c r="P59" s="44">
        <v>0</v>
      </c>
      <c r="Q59" s="44">
        <v>0</v>
      </c>
      <c r="R59" s="45">
        <v>0</v>
      </c>
      <c r="S59" s="42">
        <v>0</v>
      </c>
      <c r="T59" s="48">
        <v>385500</v>
      </c>
      <c r="U59" s="42">
        <v>38550</v>
      </c>
      <c r="V59" s="46">
        <v>346950</v>
      </c>
      <c r="W59" s="46">
        <v>2997919.3548387093</v>
      </c>
      <c r="X59" s="59">
        <f>Table1617[[#This Row],[YTD Professional Fee]]*10%</f>
        <v>299791.93548387097</v>
      </c>
      <c r="Y59" s="47" t="s">
        <v>466</v>
      </c>
      <c r="Z59" s="47"/>
      <c r="AA59" s="62"/>
    </row>
    <row r="60" spans="1:27" x14ac:dyDescent="0.35">
      <c r="A60" s="41" t="s">
        <v>116</v>
      </c>
      <c r="B60" s="6" t="s">
        <v>83</v>
      </c>
      <c r="C60" s="50">
        <v>142437</v>
      </c>
      <c r="D60" s="51">
        <v>46044</v>
      </c>
      <c r="E60" s="43" t="s">
        <v>468</v>
      </c>
      <c r="F60" s="43" t="s">
        <v>120</v>
      </c>
      <c r="G60" s="7" t="s">
        <v>124</v>
      </c>
      <c r="H60" s="19" t="s">
        <v>173</v>
      </c>
      <c r="I60" s="28" t="s">
        <v>191</v>
      </c>
      <c r="J60" s="29" t="s">
        <v>259</v>
      </c>
      <c r="K60" s="6" t="s">
        <v>338</v>
      </c>
      <c r="L60" s="28" t="s">
        <v>425</v>
      </c>
      <c r="M60" s="13">
        <v>31</v>
      </c>
      <c r="N60" s="14">
        <v>31</v>
      </c>
      <c r="O60" s="44">
        <v>5</v>
      </c>
      <c r="P60" s="44">
        <v>0</v>
      </c>
      <c r="Q60" s="44">
        <v>0</v>
      </c>
      <c r="R60" s="45">
        <v>0</v>
      </c>
      <c r="S60" s="42">
        <v>0</v>
      </c>
      <c r="T60" s="48">
        <v>220000</v>
      </c>
      <c r="U60" s="42">
        <v>22000</v>
      </c>
      <c r="V60" s="46">
        <v>198000</v>
      </c>
      <c r="W60" s="46">
        <v>1568387.0967741935</v>
      </c>
      <c r="X60" s="59">
        <f>Table1617[[#This Row],[YTD Professional Fee]]*10%</f>
        <v>156838.70967741936</v>
      </c>
      <c r="Y60" s="58" t="s">
        <v>467</v>
      </c>
      <c r="Z60" s="58"/>
    </row>
    <row r="61" spans="1:27" x14ac:dyDescent="0.35">
      <c r="A61" s="41" t="s">
        <v>116</v>
      </c>
      <c r="B61" s="6" t="s">
        <v>84</v>
      </c>
      <c r="C61" s="50">
        <v>142433</v>
      </c>
      <c r="D61" s="51">
        <v>46055</v>
      </c>
      <c r="E61" s="43" t="s">
        <v>468</v>
      </c>
      <c r="F61" s="43" t="s">
        <v>120</v>
      </c>
      <c r="G61" s="7" t="s">
        <v>124</v>
      </c>
      <c r="H61" s="19" t="s">
        <v>166</v>
      </c>
      <c r="I61" s="28" t="s">
        <v>203</v>
      </c>
      <c r="J61" s="29" t="s">
        <v>260</v>
      </c>
      <c r="K61" s="28" t="s">
        <v>339</v>
      </c>
      <c r="L61" s="28" t="s">
        <v>426</v>
      </c>
      <c r="M61" s="13">
        <v>31</v>
      </c>
      <c r="N61" s="14">
        <v>31</v>
      </c>
      <c r="O61" s="44">
        <v>5</v>
      </c>
      <c r="P61" s="44">
        <v>0</v>
      </c>
      <c r="Q61" s="44">
        <v>0</v>
      </c>
      <c r="R61" s="45">
        <v>2</v>
      </c>
      <c r="S61" s="42">
        <v>0</v>
      </c>
      <c r="T61" s="48">
        <v>400000</v>
      </c>
      <c r="U61" s="42">
        <v>40000</v>
      </c>
      <c r="V61" s="46">
        <v>360000</v>
      </c>
      <c r="W61" s="46">
        <v>2709677.4193548388</v>
      </c>
      <c r="X61" s="59">
        <f>Table1617[[#This Row],[YTD Professional Fee]]*10%</f>
        <v>270967.74193548388</v>
      </c>
      <c r="Y61" s="47" t="s">
        <v>469</v>
      </c>
      <c r="Z61" s="47"/>
    </row>
    <row r="62" spans="1:27" x14ac:dyDescent="0.35">
      <c r="A62" s="41" t="s">
        <v>116</v>
      </c>
      <c r="B62" s="6" t="s">
        <v>85</v>
      </c>
      <c r="C62" s="42">
        <v>140192</v>
      </c>
      <c r="D62" s="51">
        <v>46078</v>
      </c>
      <c r="E62" s="43" t="s">
        <v>468</v>
      </c>
      <c r="F62" s="43" t="s">
        <v>120</v>
      </c>
      <c r="G62" s="7" t="s">
        <v>131</v>
      </c>
      <c r="H62" s="19" t="s">
        <v>144</v>
      </c>
      <c r="I62" s="28" t="s">
        <v>191</v>
      </c>
      <c r="J62" s="30" t="s">
        <v>261</v>
      </c>
      <c r="K62" s="6" t="s">
        <v>340</v>
      </c>
      <c r="L62" s="28" t="s">
        <v>427</v>
      </c>
      <c r="M62" s="13">
        <v>31</v>
      </c>
      <c r="N62" s="14">
        <v>31</v>
      </c>
      <c r="O62" s="44">
        <v>5</v>
      </c>
      <c r="P62" s="44">
        <v>0</v>
      </c>
      <c r="Q62" s="44">
        <v>0</v>
      </c>
      <c r="R62" s="45">
        <v>0</v>
      </c>
      <c r="S62" s="42">
        <v>0</v>
      </c>
      <c r="T62" s="48">
        <v>100000</v>
      </c>
      <c r="U62" s="42">
        <v>10000</v>
      </c>
      <c r="V62" s="46">
        <v>90000</v>
      </c>
      <c r="W62" s="46">
        <v>603225.80645161285</v>
      </c>
      <c r="X62" s="59">
        <f>Table1617[[#This Row],[YTD Professional Fee]]*10%</f>
        <v>60322.580645161288</v>
      </c>
      <c r="Y62" s="47" t="s">
        <v>470</v>
      </c>
      <c r="Z62" s="47"/>
    </row>
    <row r="63" spans="1:27" x14ac:dyDescent="0.35">
      <c r="A63" s="41" t="s">
        <v>116</v>
      </c>
      <c r="B63" s="6" t="s">
        <v>86</v>
      </c>
      <c r="C63" s="50">
        <v>111596</v>
      </c>
      <c r="D63" s="51">
        <v>46057</v>
      </c>
      <c r="E63" s="43" t="s">
        <v>468</v>
      </c>
      <c r="F63" s="43" t="s">
        <v>120</v>
      </c>
      <c r="G63" s="7" t="s">
        <v>132</v>
      </c>
      <c r="H63" s="19" t="s">
        <v>161</v>
      </c>
      <c r="I63" s="15" t="s">
        <v>191</v>
      </c>
      <c r="J63" s="20" t="s">
        <v>262</v>
      </c>
      <c r="K63" s="6" t="s">
        <v>288</v>
      </c>
      <c r="L63" s="6" t="s">
        <v>428</v>
      </c>
      <c r="M63" s="13">
        <v>31</v>
      </c>
      <c r="N63" s="14">
        <v>31</v>
      </c>
      <c r="O63" s="44">
        <v>5</v>
      </c>
      <c r="P63" s="44">
        <v>0</v>
      </c>
      <c r="Q63" s="44">
        <v>0</v>
      </c>
      <c r="R63" s="45">
        <v>0</v>
      </c>
      <c r="S63" s="42">
        <v>0</v>
      </c>
      <c r="T63" s="48">
        <v>140000</v>
      </c>
      <c r="U63" s="42">
        <v>14000</v>
      </c>
      <c r="V63" s="46">
        <v>126000</v>
      </c>
      <c r="W63" s="46">
        <v>939354.83870967745</v>
      </c>
      <c r="X63" s="59">
        <f>Table1617[[#This Row],[YTD Professional Fee]]*10%</f>
        <v>93935.483870967757</v>
      </c>
      <c r="Y63" s="47" t="e">
        <v>#N/A</v>
      </c>
      <c r="Z63" s="47"/>
    </row>
    <row r="64" spans="1:27" x14ac:dyDescent="0.35">
      <c r="A64" s="41" t="s">
        <v>116</v>
      </c>
      <c r="B64" s="6" t="s">
        <v>87</v>
      </c>
      <c r="C64" s="50">
        <v>120807</v>
      </c>
      <c r="D64" s="51">
        <v>44977</v>
      </c>
      <c r="E64" s="43" t="s">
        <v>468</v>
      </c>
      <c r="F64" s="43" t="s">
        <v>120</v>
      </c>
      <c r="G64" s="7" t="s">
        <v>132</v>
      </c>
      <c r="H64" s="19" t="s">
        <v>161</v>
      </c>
      <c r="I64" s="15" t="s">
        <v>191</v>
      </c>
      <c r="J64" s="15">
        <v>50100395859617</v>
      </c>
      <c r="K64" s="6" t="s">
        <v>341</v>
      </c>
      <c r="L64" s="6" t="s">
        <v>429</v>
      </c>
      <c r="M64" s="13">
        <v>31</v>
      </c>
      <c r="N64" s="14">
        <v>31</v>
      </c>
      <c r="O64" s="44">
        <v>5</v>
      </c>
      <c r="P64" s="44">
        <v>0</v>
      </c>
      <c r="Q64" s="44">
        <v>0</v>
      </c>
      <c r="R64" s="45">
        <v>0</v>
      </c>
      <c r="S64" s="42">
        <v>0</v>
      </c>
      <c r="T64" s="48">
        <v>130000.00000000001</v>
      </c>
      <c r="U64" s="42">
        <v>13000.000000000002</v>
      </c>
      <c r="V64" s="46">
        <v>117000.00000000001</v>
      </c>
      <c r="W64" s="46">
        <v>765590.42857142852</v>
      </c>
      <c r="X64" s="59">
        <f>Table1617[[#This Row],[YTD Professional Fee]]*10%</f>
        <v>76559.042857142849</v>
      </c>
      <c r="Y64" s="47" t="s">
        <v>471</v>
      </c>
      <c r="Z64" s="47"/>
    </row>
    <row r="65" spans="1:26" x14ac:dyDescent="0.35">
      <c r="A65" s="41" t="s">
        <v>116</v>
      </c>
      <c r="B65" s="6" t="s">
        <v>88</v>
      </c>
      <c r="C65" s="50">
        <v>142441</v>
      </c>
      <c r="D65" s="51">
        <v>46104</v>
      </c>
      <c r="E65" s="43" t="s">
        <v>468</v>
      </c>
      <c r="F65" s="43" t="s">
        <v>120</v>
      </c>
      <c r="G65" s="7" t="s">
        <v>135</v>
      </c>
      <c r="H65" s="19" t="s">
        <v>148</v>
      </c>
      <c r="I65" s="15" t="s">
        <v>191</v>
      </c>
      <c r="J65" s="31" t="s">
        <v>263</v>
      </c>
      <c r="K65" s="6" t="s">
        <v>342</v>
      </c>
      <c r="L65" s="6" t="s">
        <v>430</v>
      </c>
      <c r="M65" s="13">
        <v>31</v>
      </c>
      <c r="N65" s="14">
        <v>31</v>
      </c>
      <c r="O65" s="44">
        <v>5</v>
      </c>
      <c r="P65" s="44">
        <v>0</v>
      </c>
      <c r="Q65" s="44">
        <v>0</v>
      </c>
      <c r="R65" s="45">
        <v>5</v>
      </c>
      <c r="S65" s="42">
        <v>0</v>
      </c>
      <c r="T65" s="48">
        <v>300000</v>
      </c>
      <c r="U65" s="42">
        <v>30000</v>
      </c>
      <c r="V65" s="46">
        <v>270000</v>
      </c>
      <c r="W65" s="46">
        <v>1522906.8571428573</v>
      </c>
      <c r="X65" s="59">
        <f>Table1617[[#This Row],[YTD Professional Fee]]*10%</f>
        <v>152290.68571428573</v>
      </c>
      <c r="Y65" s="47" t="s">
        <v>519</v>
      </c>
      <c r="Z65" s="60"/>
    </row>
    <row r="66" spans="1:26" x14ac:dyDescent="0.35">
      <c r="A66" s="41" t="s">
        <v>116</v>
      </c>
      <c r="B66" s="6" t="s">
        <v>89</v>
      </c>
      <c r="C66" s="50">
        <v>118654</v>
      </c>
      <c r="D66" s="51">
        <v>46097</v>
      </c>
      <c r="E66" s="43" t="s">
        <v>468</v>
      </c>
      <c r="F66" s="43" t="s">
        <v>120</v>
      </c>
      <c r="G66" s="7" t="s">
        <v>136</v>
      </c>
      <c r="H66" s="19" t="s">
        <v>166</v>
      </c>
      <c r="I66" s="15" t="s">
        <v>191</v>
      </c>
      <c r="J66" s="31" t="s">
        <v>264</v>
      </c>
      <c r="K66" s="6" t="s">
        <v>343</v>
      </c>
      <c r="L66" s="6" t="s">
        <v>431</v>
      </c>
      <c r="M66" s="13">
        <v>31</v>
      </c>
      <c r="N66" s="14">
        <v>31</v>
      </c>
      <c r="O66" s="44">
        <v>5</v>
      </c>
      <c r="P66" s="44">
        <v>0</v>
      </c>
      <c r="Q66" s="44">
        <v>0</v>
      </c>
      <c r="R66" s="45">
        <v>0</v>
      </c>
      <c r="S66" s="42">
        <v>0</v>
      </c>
      <c r="T66" s="48">
        <v>228000</v>
      </c>
      <c r="U66" s="42">
        <v>22800</v>
      </c>
      <c r="V66" s="46">
        <v>205200</v>
      </c>
      <c r="W66" s="46">
        <v>1031750</v>
      </c>
      <c r="X66" s="59">
        <f>Table1617[[#This Row],[YTD Professional Fee]]*10%</f>
        <v>103175</v>
      </c>
      <c r="Y66" s="47" t="s">
        <v>472</v>
      </c>
      <c r="Z66" s="60"/>
    </row>
    <row r="67" spans="1:26" x14ac:dyDescent="0.35">
      <c r="A67" s="41" t="s">
        <v>116</v>
      </c>
      <c r="B67" s="6" t="s">
        <v>90</v>
      </c>
      <c r="C67" s="42">
        <v>142439</v>
      </c>
      <c r="D67" s="51">
        <v>46122</v>
      </c>
      <c r="E67" s="43" t="s">
        <v>468</v>
      </c>
      <c r="F67" s="43" t="s">
        <v>120</v>
      </c>
      <c r="G67" s="7" t="s">
        <v>129</v>
      </c>
      <c r="H67" s="19" t="s">
        <v>174</v>
      </c>
      <c r="I67" s="15" t="s">
        <v>204</v>
      </c>
      <c r="J67" s="31" t="s">
        <v>265</v>
      </c>
      <c r="K67" s="6" t="s">
        <v>344</v>
      </c>
      <c r="L67" s="6" t="s">
        <v>432</v>
      </c>
      <c r="M67" s="13">
        <v>31</v>
      </c>
      <c r="N67" s="14">
        <v>31</v>
      </c>
      <c r="O67" s="44">
        <v>5</v>
      </c>
      <c r="P67" s="44">
        <v>0</v>
      </c>
      <c r="Q67" s="44">
        <v>0</v>
      </c>
      <c r="R67" s="45">
        <v>6</v>
      </c>
      <c r="S67" s="42">
        <v>0</v>
      </c>
      <c r="T67" s="48">
        <v>900000</v>
      </c>
      <c r="U67" s="42">
        <v>90000</v>
      </c>
      <c r="V67" s="46">
        <v>810000</v>
      </c>
      <c r="W67" s="46">
        <v>4064516.1290322579</v>
      </c>
      <c r="X67" s="59">
        <f>Table1617[[#This Row],[YTD Professional Fee]]*10%</f>
        <v>406451.61290322582</v>
      </c>
      <c r="Y67" s="47" t="s">
        <v>473</v>
      </c>
      <c r="Z67" s="47"/>
    </row>
    <row r="68" spans="1:26" x14ac:dyDescent="0.35">
      <c r="A68" s="41" t="s">
        <v>116</v>
      </c>
      <c r="B68" s="6" t="s">
        <v>91</v>
      </c>
      <c r="C68" s="50">
        <v>142702</v>
      </c>
      <c r="D68" s="51">
        <v>46128</v>
      </c>
      <c r="E68" s="43" t="s">
        <v>468</v>
      </c>
      <c r="F68" s="43" t="s">
        <v>120</v>
      </c>
      <c r="G68" s="7" t="s">
        <v>131</v>
      </c>
      <c r="H68" s="19" t="s">
        <v>175</v>
      </c>
      <c r="I68" s="15" t="s">
        <v>191</v>
      </c>
      <c r="J68" s="31" t="s">
        <v>266</v>
      </c>
      <c r="K68" s="6" t="s">
        <v>345</v>
      </c>
      <c r="L68" s="6" t="s">
        <v>433</v>
      </c>
      <c r="M68" s="13">
        <v>31</v>
      </c>
      <c r="N68" s="14">
        <v>31</v>
      </c>
      <c r="O68" s="44">
        <v>5</v>
      </c>
      <c r="P68" s="44">
        <v>0</v>
      </c>
      <c r="Q68" s="44">
        <v>0</v>
      </c>
      <c r="R68" s="45">
        <v>0</v>
      </c>
      <c r="S68" s="42">
        <v>0</v>
      </c>
      <c r="T68" s="48">
        <v>100000</v>
      </c>
      <c r="U68" s="42">
        <v>10000</v>
      </c>
      <c r="V68" s="46">
        <v>90000</v>
      </c>
      <c r="W68" s="46">
        <v>432258.06451612903</v>
      </c>
      <c r="X68" s="59">
        <f>Table1617[[#This Row],[YTD Professional Fee]]*10%</f>
        <v>43225.806451612909</v>
      </c>
      <c r="Y68" s="47" t="s">
        <v>474</v>
      </c>
      <c r="Z68" s="47"/>
    </row>
    <row r="69" spans="1:26" x14ac:dyDescent="0.35">
      <c r="A69" s="41" t="s">
        <v>116</v>
      </c>
      <c r="B69" s="6" t="s">
        <v>92</v>
      </c>
      <c r="C69" s="50">
        <v>115482</v>
      </c>
      <c r="D69" s="53">
        <v>46144</v>
      </c>
      <c r="E69" s="43" t="s">
        <v>468</v>
      </c>
      <c r="F69" s="43" t="s">
        <v>120</v>
      </c>
      <c r="G69" s="19" t="s">
        <v>124</v>
      </c>
      <c r="H69" s="19" t="s">
        <v>177</v>
      </c>
      <c r="I69" s="15" t="s">
        <v>194</v>
      </c>
      <c r="J69" s="31" t="s">
        <v>267</v>
      </c>
      <c r="K69" s="6" t="s">
        <v>330</v>
      </c>
      <c r="L69" s="6" t="s">
        <v>434</v>
      </c>
      <c r="M69" s="13">
        <v>31</v>
      </c>
      <c r="N69" s="14">
        <v>31</v>
      </c>
      <c r="O69" s="44">
        <v>5</v>
      </c>
      <c r="P69" s="44">
        <v>0</v>
      </c>
      <c r="Q69" s="44">
        <v>0</v>
      </c>
      <c r="R69" s="45">
        <v>0</v>
      </c>
      <c r="S69" s="42">
        <v>0</v>
      </c>
      <c r="T69" s="48">
        <v>600000</v>
      </c>
      <c r="U69" s="42">
        <v>60000</v>
      </c>
      <c r="V69" s="46">
        <v>540000</v>
      </c>
      <c r="W69" s="46">
        <v>2280000</v>
      </c>
      <c r="X69" s="59">
        <f>Table1617[[#This Row],[YTD Professional Fee]]*10%</f>
        <v>228000</v>
      </c>
      <c r="Y69" s="47" t="e">
        <v>#N/A</v>
      </c>
      <c r="Z69" s="60"/>
    </row>
    <row r="70" spans="1:26" x14ac:dyDescent="0.35">
      <c r="A70" s="41" t="s">
        <v>116</v>
      </c>
      <c r="B70" s="6" t="s">
        <v>93</v>
      </c>
      <c r="C70" s="50">
        <v>142460</v>
      </c>
      <c r="D70" s="53">
        <v>46148</v>
      </c>
      <c r="E70" s="43" t="s">
        <v>468</v>
      </c>
      <c r="F70" s="43" t="s">
        <v>120</v>
      </c>
      <c r="G70" s="19" t="s">
        <v>124</v>
      </c>
      <c r="H70" s="19" t="s">
        <v>178</v>
      </c>
      <c r="I70" s="15" t="s">
        <v>193</v>
      </c>
      <c r="J70" s="31" t="s">
        <v>268</v>
      </c>
      <c r="K70" s="6" t="s">
        <v>346</v>
      </c>
      <c r="L70" s="6" t="s">
        <v>435</v>
      </c>
      <c r="M70" s="13">
        <v>31</v>
      </c>
      <c r="N70" s="14">
        <v>31</v>
      </c>
      <c r="O70" s="44">
        <v>5</v>
      </c>
      <c r="P70" s="44">
        <v>0</v>
      </c>
      <c r="Q70" s="44">
        <v>0</v>
      </c>
      <c r="R70" s="45">
        <v>0</v>
      </c>
      <c r="S70" s="42">
        <v>0</v>
      </c>
      <c r="T70" s="48">
        <v>450000</v>
      </c>
      <c r="U70" s="42">
        <v>45000</v>
      </c>
      <c r="V70" s="46">
        <v>405000</v>
      </c>
      <c r="W70" s="46">
        <v>1650000</v>
      </c>
      <c r="X70" s="59">
        <f>Table1617[[#This Row],[YTD Professional Fee]]*10%</f>
        <v>165000</v>
      </c>
      <c r="Y70" s="47" t="e">
        <v>#N/A</v>
      </c>
      <c r="Z70" s="60"/>
    </row>
    <row r="71" spans="1:26" x14ac:dyDescent="0.35">
      <c r="A71" s="41" t="s">
        <v>116</v>
      </c>
      <c r="B71" s="6" t="s">
        <v>94</v>
      </c>
      <c r="C71" s="50">
        <v>142477</v>
      </c>
      <c r="D71" s="53">
        <v>46167</v>
      </c>
      <c r="E71" s="43" t="s">
        <v>468</v>
      </c>
      <c r="F71" s="43" t="s">
        <v>120</v>
      </c>
      <c r="G71" s="19" t="s">
        <v>124</v>
      </c>
      <c r="H71" s="19" t="s">
        <v>170</v>
      </c>
      <c r="I71" s="15" t="s">
        <v>192</v>
      </c>
      <c r="J71" s="31" t="s">
        <v>269</v>
      </c>
      <c r="K71" s="31" t="s">
        <v>347</v>
      </c>
      <c r="L71" s="6" t="s">
        <v>436</v>
      </c>
      <c r="M71" s="13">
        <v>31</v>
      </c>
      <c r="N71" s="14">
        <v>31</v>
      </c>
      <c r="O71" s="44">
        <v>5</v>
      </c>
      <c r="P71" s="44">
        <v>0</v>
      </c>
      <c r="Q71" s="44">
        <v>0</v>
      </c>
      <c r="R71" s="45">
        <v>0</v>
      </c>
      <c r="S71" s="42">
        <v>0</v>
      </c>
      <c r="T71" s="48">
        <v>350000</v>
      </c>
      <c r="U71" s="42">
        <v>35000</v>
      </c>
      <c r="V71" s="46">
        <v>315000</v>
      </c>
      <c r="W71" s="46">
        <v>1061666.6666666667</v>
      </c>
      <c r="X71" s="59">
        <f>Table1617[[#This Row],[YTD Professional Fee]]*10%</f>
        <v>106166.66666666669</v>
      </c>
      <c r="Y71" s="47" t="e">
        <v>#N/A</v>
      </c>
      <c r="Z71" s="60"/>
    </row>
    <row r="72" spans="1:26" x14ac:dyDescent="0.35">
      <c r="A72" s="41" t="s">
        <v>116</v>
      </c>
      <c r="B72" s="6" t="s">
        <v>95</v>
      </c>
      <c r="C72" s="50">
        <v>142459</v>
      </c>
      <c r="D72" s="53">
        <v>46158</v>
      </c>
      <c r="E72" s="43" t="s">
        <v>468</v>
      </c>
      <c r="F72" s="43" t="s">
        <v>120</v>
      </c>
      <c r="G72" s="19" t="s">
        <v>124</v>
      </c>
      <c r="H72" s="19" t="s">
        <v>162</v>
      </c>
      <c r="I72" s="15" t="s">
        <v>191</v>
      </c>
      <c r="J72" s="31" t="s">
        <v>270</v>
      </c>
      <c r="K72" s="31" t="s">
        <v>348</v>
      </c>
      <c r="L72" s="6" t="s">
        <v>437</v>
      </c>
      <c r="M72" s="13">
        <v>31</v>
      </c>
      <c r="N72" s="14">
        <v>31</v>
      </c>
      <c r="O72" s="44">
        <v>5</v>
      </c>
      <c r="P72" s="44">
        <v>0</v>
      </c>
      <c r="Q72" s="44">
        <v>0</v>
      </c>
      <c r="R72" s="45">
        <v>8</v>
      </c>
      <c r="S72" s="42">
        <v>0</v>
      </c>
      <c r="T72" s="48">
        <v>300000</v>
      </c>
      <c r="U72" s="42">
        <v>30000</v>
      </c>
      <c r="V72" s="46">
        <v>270000</v>
      </c>
      <c r="W72" s="46">
        <v>1000000</v>
      </c>
      <c r="X72" s="59">
        <f>Table1617[[#This Row],[YTD Professional Fee]]*10%</f>
        <v>100000</v>
      </c>
      <c r="Y72" s="47" t="e">
        <v>#N/A</v>
      </c>
      <c r="Z72" s="60"/>
    </row>
    <row r="73" spans="1:26" x14ac:dyDescent="0.35">
      <c r="A73" s="41" t="s">
        <v>116</v>
      </c>
      <c r="B73" s="6" t="s">
        <v>96</v>
      </c>
      <c r="C73" s="50">
        <v>143535</v>
      </c>
      <c r="D73" s="53">
        <v>46157</v>
      </c>
      <c r="E73" s="43" t="s">
        <v>468</v>
      </c>
      <c r="F73" s="43" t="s">
        <v>120</v>
      </c>
      <c r="G73" s="19" t="s">
        <v>131</v>
      </c>
      <c r="H73" s="19" t="s">
        <v>179</v>
      </c>
      <c r="I73" s="28" t="s">
        <v>194</v>
      </c>
      <c r="J73" s="32">
        <v>45130036488</v>
      </c>
      <c r="K73" s="31" t="s">
        <v>349</v>
      </c>
      <c r="L73" s="6" t="s">
        <v>438</v>
      </c>
      <c r="M73" s="13">
        <v>31</v>
      </c>
      <c r="N73" s="14">
        <v>31</v>
      </c>
      <c r="O73" s="44">
        <v>5</v>
      </c>
      <c r="P73" s="44">
        <v>0</v>
      </c>
      <c r="Q73" s="44">
        <v>0</v>
      </c>
      <c r="R73" s="45">
        <v>0</v>
      </c>
      <c r="S73" s="42">
        <v>0</v>
      </c>
      <c r="T73" s="48">
        <v>225000</v>
      </c>
      <c r="U73" s="42">
        <v>22500</v>
      </c>
      <c r="V73" s="46">
        <v>202500</v>
      </c>
      <c r="W73" s="46">
        <v>757500</v>
      </c>
      <c r="X73" s="59">
        <f>Table1617[[#This Row],[YTD Professional Fee]]*10%</f>
        <v>75750</v>
      </c>
      <c r="Y73" s="47" t="e">
        <v>#N/A</v>
      </c>
      <c r="Z73" s="60"/>
    </row>
    <row r="74" spans="1:26" x14ac:dyDescent="0.35">
      <c r="A74" s="41" t="s">
        <v>116</v>
      </c>
      <c r="B74" s="6" t="s">
        <v>97</v>
      </c>
      <c r="C74" s="50">
        <v>142483</v>
      </c>
      <c r="D74" s="53">
        <v>46167</v>
      </c>
      <c r="E74" s="43" t="s">
        <v>468</v>
      </c>
      <c r="F74" s="43" t="s">
        <v>120</v>
      </c>
      <c r="G74" s="19" t="s">
        <v>137</v>
      </c>
      <c r="H74" s="19" t="s">
        <v>180</v>
      </c>
      <c r="I74" s="15" t="s">
        <v>193</v>
      </c>
      <c r="J74" s="31" t="s">
        <v>271</v>
      </c>
      <c r="K74" s="31" t="s">
        <v>350</v>
      </c>
      <c r="L74" s="6" t="s">
        <v>439</v>
      </c>
      <c r="M74" s="13">
        <v>31</v>
      </c>
      <c r="N74" s="14">
        <v>31</v>
      </c>
      <c r="O74" s="44">
        <v>5</v>
      </c>
      <c r="P74" s="44">
        <v>0</v>
      </c>
      <c r="Q74" s="44">
        <v>0</v>
      </c>
      <c r="R74" s="45">
        <v>0</v>
      </c>
      <c r="S74" s="42">
        <v>0</v>
      </c>
      <c r="T74" s="48">
        <v>500000</v>
      </c>
      <c r="U74" s="42">
        <v>50000</v>
      </c>
      <c r="V74" s="46">
        <v>450000</v>
      </c>
      <c r="W74" s="46">
        <v>1516666.6666666667</v>
      </c>
      <c r="X74" s="59">
        <f>Table1617[[#This Row],[YTD Professional Fee]]*10%</f>
        <v>151666.66666666669</v>
      </c>
      <c r="Y74" s="47" t="e">
        <v>#N/A</v>
      </c>
      <c r="Z74" s="60"/>
    </row>
    <row r="75" spans="1:26" x14ac:dyDescent="0.35">
      <c r="A75" s="41" t="s">
        <v>116</v>
      </c>
      <c r="B75" s="6" t="s">
        <v>98</v>
      </c>
      <c r="C75" s="50">
        <v>141938</v>
      </c>
      <c r="D75" s="53">
        <v>46143</v>
      </c>
      <c r="E75" s="43" t="s">
        <v>468</v>
      </c>
      <c r="F75" s="43" t="s">
        <v>120</v>
      </c>
      <c r="G75" s="19" t="s">
        <v>138</v>
      </c>
      <c r="H75" s="19" t="s">
        <v>181</v>
      </c>
      <c r="I75" s="15" t="s">
        <v>193</v>
      </c>
      <c r="J75" s="31" t="s">
        <v>272</v>
      </c>
      <c r="K75" s="31" t="s">
        <v>351</v>
      </c>
      <c r="L75" s="6" t="s">
        <v>440</v>
      </c>
      <c r="M75" s="13">
        <v>31</v>
      </c>
      <c r="N75" s="14">
        <v>31</v>
      </c>
      <c r="O75" s="44">
        <v>5</v>
      </c>
      <c r="P75" s="44">
        <v>0</v>
      </c>
      <c r="Q75" s="44">
        <v>0</v>
      </c>
      <c r="R75" s="45">
        <v>0</v>
      </c>
      <c r="S75" s="42">
        <v>0</v>
      </c>
      <c r="T75" s="48">
        <v>45000</v>
      </c>
      <c r="U75" s="42">
        <v>4500</v>
      </c>
      <c r="V75" s="46">
        <v>40500</v>
      </c>
      <c r="W75" s="46">
        <v>172500</v>
      </c>
      <c r="X75" s="59">
        <f>Table1617[[#This Row],[YTD Professional Fee]]*10%</f>
        <v>17250</v>
      </c>
      <c r="Y75" s="47" t="e">
        <v>#N/A</v>
      </c>
      <c r="Z75" s="60"/>
    </row>
    <row r="76" spans="1:26" x14ac:dyDescent="0.35">
      <c r="A76" s="41" t="s">
        <v>116</v>
      </c>
      <c r="B76" s="6" t="s">
        <v>99</v>
      </c>
      <c r="C76" s="50">
        <v>135057</v>
      </c>
      <c r="D76" s="53">
        <v>46002</v>
      </c>
      <c r="E76" s="43" t="s">
        <v>468</v>
      </c>
      <c r="F76" s="43" t="s">
        <v>120</v>
      </c>
      <c r="G76" s="19" t="s">
        <v>127</v>
      </c>
      <c r="H76" s="19" t="s">
        <v>182</v>
      </c>
      <c r="I76" s="28" t="s">
        <v>205</v>
      </c>
      <c r="J76" s="28" t="s">
        <v>273</v>
      </c>
      <c r="K76" s="6" t="s">
        <v>352</v>
      </c>
      <c r="L76" s="6" t="s">
        <v>441</v>
      </c>
      <c r="M76" s="13">
        <v>31</v>
      </c>
      <c r="N76" s="14">
        <v>31</v>
      </c>
      <c r="O76" s="44">
        <v>5</v>
      </c>
      <c r="P76" s="44">
        <v>0</v>
      </c>
      <c r="Q76" s="44">
        <v>0</v>
      </c>
      <c r="R76" s="45">
        <v>1</v>
      </c>
      <c r="S76" s="42">
        <v>0</v>
      </c>
      <c r="T76" s="48">
        <v>950000</v>
      </c>
      <c r="U76" s="42">
        <v>95000</v>
      </c>
      <c r="V76" s="46">
        <v>855000</v>
      </c>
      <c r="W76" s="46">
        <v>2850000</v>
      </c>
      <c r="X76" s="59">
        <f>Table1617[[#This Row],[YTD Professional Fee]]*10%</f>
        <v>285000</v>
      </c>
      <c r="Y76" s="47" t="e">
        <v>#N/A</v>
      </c>
      <c r="Z76" s="60"/>
    </row>
    <row r="77" spans="1:26" x14ac:dyDescent="0.35">
      <c r="A77" s="41" t="s">
        <v>116</v>
      </c>
      <c r="B77" s="7" t="s">
        <v>100</v>
      </c>
      <c r="C77" s="50">
        <v>142458</v>
      </c>
      <c r="D77" s="54">
        <v>46174</v>
      </c>
      <c r="E77" s="43" t="s">
        <v>468</v>
      </c>
      <c r="F77" s="43" t="s">
        <v>120</v>
      </c>
      <c r="G77" s="6" t="s">
        <v>124</v>
      </c>
      <c r="H77" s="7" t="s">
        <v>158</v>
      </c>
      <c r="I77" s="7" t="s">
        <v>194</v>
      </c>
      <c r="J77" s="27" t="s">
        <v>274</v>
      </c>
      <c r="K77" s="7" t="s">
        <v>315</v>
      </c>
      <c r="L77" s="7" t="s">
        <v>442</v>
      </c>
      <c r="M77" s="13">
        <v>31</v>
      </c>
      <c r="N77" s="14">
        <v>31</v>
      </c>
      <c r="O77" s="44">
        <v>5</v>
      </c>
      <c r="P77" s="44">
        <v>0</v>
      </c>
      <c r="Q77" s="44">
        <v>0</v>
      </c>
      <c r="R77" s="45">
        <v>1</v>
      </c>
      <c r="S77" s="42">
        <v>0</v>
      </c>
      <c r="T77" s="48">
        <v>635000</v>
      </c>
      <c r="U77" s="42">
        <v>63500</v>
      </c>
      <c r="V77" s="46">
        <v>571500</v>
      </c>
      <c r="W77" s="46">
        <v>1782096.7741935484</v>
      </c>
      <c r="X77" s="59">
        <f>Table1617[[#This Row],[YTD Professional Fee]]*10%</f>
        <v>178209.67741935485</v>
      </c>
      <c r="Y77" s="47" t="e">
        <v>#N/A</v>
      </c>
      <c r="Z77" s="60"/>
    </row>
    <row r="78" spans="1:26" x14ac:dyDescent="0.35">
      <c r="A78" s="41" t="s">
        <v>116</v>
      </c>
      <c r="B78" s="7" t="s">
        <v>101</v>
      </c>
      <c r="C78" s="42">
        <v>142484</v>
      </c>
      <c r="D78" s="54">
        <v>46181</v>
      </c>
      <c r="E78" s="43" t="s">
        <v>468</v>
      </c>
      <c r="F78" s="43" t="s">
        <v>120</v>
      </c>
      <c r="G78" s="6" t="s">
        <v>132</v>
      </c>
      <c r="H78" s="7" t="s">
        <v>176</v>
      </c>
      <c r="I78" s="7" t="s">
        <v>194</v>
      </c>
      <c r="J78" s="27" t="s">
        <v>275</v>
      </c>
      <c r="K78" s="7" t="s">
        <v>353</v>
      </c>
      <c r="L78" s="7" t="s">
        <v>443</v>
      </c>
      <c r="M78" s="13">
        <v>31</v>
      </c>
      <c r="N78" s="14">
        <v>31</v>
      </c>
      <c r="O78" s="44">
        <v>5</v>
      </c>
      <c r="P78" s="44">
        <v>0</v>
      </c>
      <c r="Q78" s="44">
        <v>0</v>
      </c>
      <c r="R78" s="45">
        <v>0</v>
      </c>
      <c r="S78" s="42">
        <v>0</v>
      </c>
      <c r="T78" s="48">
        <v>238000</v>
      </c>
      <c r="U78" s="42">
        <v>23800</v>
      </c>
      <c r="V78" s="46">
        <v>214200</v>
      </c>
      <c r="W78" s="46">
        <v>629064.38709677418</v>
      </c>
      <c r="X78" s="59">
        <f>Table1617[[#This Row],[YTD Professional Fee]]*10%</f>
        <v>62906.438709677423</v>
      </c>
      <c r="Y78" s="47" t="e">
        <v>#N/A</v>
      </c>
      <c r="Z78" s="60"/>
    </row>
    <row r="79" spans="1:26" x14ac:dyDescent="0.35">
      <c r="A79" s="41" t="s">
        <v>116</v>
      </c>
      <c r="B79" s="7" t="s">
        <v>102</v>
      </c>
      <c r="C79" s="50">
        <v>142457</v>
      </c>
      <c r="D79" s="54">
        <v>46191</v>
      </c>
      <c r="E79" s="43" t="s">
        <v>468</v>
      </c>
      <c r="F79" s="43" t="s">
        <v>120</v>
      </c>
      <c r="G79" s="6" t="s">
        <v>124</v>
      </c>
      <c r="H79" s="7" t="s">
        <v>183</v>
      </c>
      <c r="I79" s="7" t="s">
        <v>202</v>
      </c>
      <c r="J79" s="27" t="s">
        <v>276</v>
      </c>
      <c r="K79" s="7" t="s">
        <v>354</v>
      </c>
      <c r="L79" s="7" t="s">
        <v>444</v>
      </c>
      <c r="M79" s="13">
        <v>31</v>
      </c>
      <c r="N79" s="14">
        <v>31</v>
      </c>
      <c r="O79" s="44">
        <v>5</v>
      </c>
      <c r="P79" s="44">
        <v>0</v>
      </c>
      <c r="Q79" s="44">
        <v>0</v>
      </c>
      <c r="R79" s="45">
        <v>0</v>
      </c>
      <c r="S79" s="42">
        <v>0</v>
      </c>
      <c r="T79" s="48">
        <v>250000</v>
      </c>
      <c r="U79" s="42">
        <v>25000</v>
      </c>
      <c r="V79" s="46">
        <v>225000</v>
      </c>
      <c r="W79" s="46">
        <v>564516.12903225818</v>
      </c>
      <c r="X79" s="59">
        <f>Table1617[[#This Row],[YTD Professional Fee]]*10%</f>
        <v>56451.612903225818</v>
      </c>
      <c r="Y79" s="47" t="e">
        <v>#N/A</v>
      </c>
      <c r="Z79" s="60"/>
    </row>
    <row r="80" spans="1:26" x14ac:dyDescent="0.35">
      <c r="A80" s="41" t="s">
        <v>116</v>
      </c>
      <c r="B80" s="7" t="s">
        <v>103</v>
      </c>
      <c r="C80" s="50">
        <v>142455</v>
      </c>
      <c r="D80" s="54">
        <v>46190</v>
      </c>
      <c r="E80" s="43" t="s">
        <v>468</v>
      </c>
      <c r="F80" s="43" t="s">
        <v>120</v>
      </c>
      <c r="G80" s="6" t="s">
        <v>127</v>
      </c>
      <c r="H80" s="7" t="s">
        <v>175</v>
      </c>
      <c r="I80" s="7" t="s">
        <v>193</v>
      </c>
      <c r="J80" s="27" t="s">
        <v>277</v>
      </c>
      <c r="K80" s="7" t="s">
        <v>286</v>
      </c>
      <c r="L80" s="7" t="s">
        <v>445</v>
      </c>
      <c r="M80" s="13">
        <v>31</v>
      </c>
      <c r="N80" s="14">
        <v>31</v>
      </c>
      <c r="O80" s="44">
        <v>5</v>
      </c>
      <c r="P80" s="44">
        <v>0</v>
      </c>
      <c r="Q80" s="44">
        <v>0</v>
      </c>
      <c r="R80" s="45">
        <v>0</v>
      </c>
      <c r="S80" s="42">
        <v>0</v>
      </c>
      <c r="T80" s="48">
        <v>220000</v>
      </c>
      <c r="U80" s="42">
        <v>22000</v>
      </c>
      <c r="V80" s="46">
        <v>198000</v>
      </c>
      <c r="W80" s="46">
        <v>503870.96774193551</v>
      </c>
      <c r="X80" s="59">
        <f>Table1617[[#This Row],[YTD Professional Fee]]*10%</f>
        <v>50387.096774193553</v>
      </c>
      <c r="Y80" s="47" t="e">
        <v>#N/A</v>
      </c>
      <c r="Z80" s="60"/>
    </row>
    <row r="81" spans="1:26" x14ac:dyDescent="0.35">
      <c r="A81" s="41" t="s">
        <v>116</v>
      </c>
      <c r="B81" s="7" t="s">
        <v>104</v>
      </c>
      <c r="C81" s="50">
        <v>142452</v>
      </c>
      <c r="D81" s="54">
        <v>46174</v>
      </c>
      <c r="E81" s="43" t="s">
        <v>468</v>
      </c>
      <c r="F81" s="43" t="s">
        <v>120</v>
      </c>
      <c r="G81" s="6" t="s">
        <v>124</v>
      </c>
      <c r="H81" s="7" t="s">
        <v>158</v>
      </c>
      <c r="I81" s="7" t="s">
        <v>194</v>
      </c>
      <c r="J81" s="27" t="s">
        <v>278</v>
      </c>
      <c r="K81" s="7" t="s">
        <v>355</v>
      </c>
      <c r="L81" s="7" t="s">
        <v>446</v>
      </c>
      <c r="M81" s="13">
        <v>31</v>
      </c>
      <c r="N81" s="14">
        <v>31</v>
      </c>
      <c r="O81" s="44">
        <v>5</v>
      </c>
      <c r="P81" s="44">
        <v>0</v>
      </c>
      <c r="Q81" s="44">
        <v>0</v>
      </c>
      <c r="R81" s="45">
        <v>4</v>
      </c>
      <c r="S81" s="42">
        <v>0</v>
      </c>
      <c r="T81" s="48">
        <v>500000</v>
      </c>
      <c r="U81" s="42">
        <v>50000</v>
      </c>
      <c r="V81" s="46">
        <v>450000</v>
      </c>
      <c r="W81" s="46">
        <v>1403225.8064516131</v>
      </c>
      <c r="X81" s="59">
        <f>Table1617[[#This Row],[YTD Professional Fee]]*10%</f>
        <v>140322.5806451613</v>
      </c>
      <c r="Y81" s="47" t="e">
        <v>#N/A</v>
      </c>
      <c r="Z81" s="60"/>
    </row>
    <row r="82" spans="1:26" x14ac:dyDescent="0.35">
      <c r="A82" s="41" t="s">
        <v>116</v>
      </c>
      <c r="B82" s="7" t="s">
        <v>105</v>
      </c>
      <c r="C82" s="50">
        <v>142470</v>
      </c>
      <c r="D82" s="54">
        <v>46174</v>
      </c>
      <c r="E82" s="43" t="s">
        <v>468</v>
      </c>
      <c r="F82" s="43" t="s">
        <v>120</v>
      </c>
      <c r="G82" s="6" t="s">
        <v>132</v>
      </c>
      <c r="H82" s="7" t="s">
        <v>184</v>
      </c>
      <c r="I82" s="7" t="s">
        <v>205</v>
      </c>
      <c r="J82" s="7" t="s">
        <v>279</v>
      </c>
      <c r="K82" s="7" t="s">
        <v>356</v>
      </c>
      <c r="L82" s="7" t="s">
        <v>447</v>
      </c>
      <c r="M82" s="13">
        <v>31</v>
      </c>
      <c r="N82" s="14">
        <v>31</v>
      </c>
      <c r="O82" s="44">
        <v>5</v>
      </c>
      <c r="P82" s="44">
        <v>0</v>
      </c>
      <c r="Q82" s="44">
        <v>0</v>
      </c>
      <c r="R82" s="45">
        <v>0</v>
      </c>
      <c r="S82" s="42">
        <v>0</v>
      </c>
      <c r="T82" s="48">
        <v>200000</v>
      </c>
      <c r="U82" s="42">
        <v>20000</v>
      </c>
      <c r="V82" s="46">
        <v>180000</v>
      </c>
      <c r="W82" s="46">
        <v>561290.32258064521</v>
      </c>
      <c r="X82" s="59">
        <f>Table1617[[#This Row],[YTD Professional Fee]]*10%</f>
        <v>56129.032258064522</v>
      </c>
      <c r="Y82" s="47" t="e">
        <v>#N/A</v>
      </c>
      <c r="Z82" s="60"/>
    </row>
    <row r="83" spans="1:26" x14ac:dyDescent="0.35">
      <c r="A83" s="41" t="s">
        <v>116</v>
      </c>
      <c r="B83" s="7" t="s">
        <v>106</v>
      </c>
      <c r="C83" s="50">
        <v>142450</v>
      </c>
      <c r="D83" s="53">
        <v>46195</v>
      </c>
      <c r="E83" s="43" t="s">
        <v>468</v>
      </c>
      <c r="F83" s="43" t="s">
        <v>120</v>
      </c>
      <c r="G83" s="6" t="s">
        <v>124</v>
      </c>
      <c r="H83" s="7" t="s">
        <v>145</v>
      </c>
      <c r="I83" s="7" t="s">
        <v>194</v>
      </c>
      <c r="J83" s="27" t="s">
        <v>280</v>
      </c>
      <c r="K83" s="7" t="s">
        <v>357</v>
      </c>
      <c r="L83" s="6" t="s">
        <v>448</v>
      </c>
      <c r="M83" s="13">
        <v>31</v>
      </c>
      <c r="N83" s="14">
        <v>31</v>
      </c>
      <c r="O83" s="44">
        <v>5</v>
      </c>
      <c r="P83" s="44">
        <v>0</v>
      </c>
      <c r="Q83" s="44">
        <v>0</v>
      </c>
      <c r="R83" s="45">
        <v>0</v>
      </c>
      <c r="S83" s="42">
        <v>0</v>
      </c>
      <c r="T83" s="48">
        <v>100000</v>
      </c>
      <c r="U83" s="42">
        <v>10000</v>
      </c>
      <c r="V83" s="46">
        <v>90000</v>
      </c>
      <c r="W83" s="46">
        <v>225000</v>
      </c>
      <c r="X83" s="59">
        <f>Table1617[[#This Row],[YTD Professional Fee]]*10%</f>
        <v>22500</v>
      </c>
      <c r="Y83" s="47" t="e">
        <v>#N/A</v>
      </c>
      <c r="Z83" s="60"/>
    </row>
    <row r="84" spans="1:26" x14ac:dyDescent="0.35">
      <c r="A84" s="41" t="s">
        <v>116</v>
      </c>
      <c r="B84" s="7" t="s">
        <v>107</v>
      </c>
      <c r="C84" s="50">
        <v>125114</v>
      </c>
      <c r="D84" s="53">
        <v>45232</v>
      </c>
      <c r="E84" s="43" t="s">
        <v>468</v>
      </c>
      <c r="F84" s="43" t="s">
        <v>120</v>
      </c>
      <c r="G84" s="6" t="s">
        <v>131</v>
      </c>
      <c r="H84" s="7" t="s">
        <v>185</v>
      </c>
      <c r="I84" s="15" t="s">
        <v>191</v>
      </c>
      <c r="J84" s="15" t="s">
        <v>281</v>
      </c>
      <c r="K84" s="6" t="s">
        <v>358</v>
      </c>
      <c r="L84" s="6" t="s">
        <v>449</v>
      </c>
      <c r="M84" s="13">
        <v>31</v>
      </c>
      <c r="N84" s="14">
        <v>31</v>
      </c>
      <c r="O84" s="44">
        <v>5</v>
      </c>
      <c r="P84" s="44">
        <v>0</v>
      </c>
      <c r="Q84" s="44">
        <v>0</v>
      </c>
      <c r="R84" s="45">
        <v>0</v>
      </c>
      <c r="S84" s="42">
        <v>0</v>
      </c>
      <c r="T84" s="48">
        <v>150000</v>
      </c>
      <c r="U84" s="42">
        <v>15000</v>
      </c>
      <c r="V84" s="46">
        <v>135000</v>
      </c>
      <c r="W84" s="46">
        <v>450000</v>
      </c>
      <c r="X84" s="59">
        <f>Table1617[[#This Row],[YTD Professional Fee]]*10%</f>
        <v>45000</v>
      </c>
      <c r="Y84" s="47" t="e">
        <v>#N/A</v>
      </c>
      <c r="Z84" s="60"/>
    </row>
    <row r="85" spans="1:26" x14ac:dyDescent="0.35">
      <c r="A85" s="41" t="s">
        <v>116</v>
      </c>
      <c r="B85" s="7" t="s">
        <v>108</v>
      </c>
      <c r="C85" s="50">
        <v>142704</v>
      </c>
      <c r="D85" s="54">
        <v>46204</v>
      </c>
      <c r="E85" s="43" t="s">
        <v>468</v>
      </c>
      <c r="F85" s="43" t="s">
        <v>120</v>
      </c>
      <c r="G85" s="6" t="s">
        <v>137</v>
      </c>
      <c r="H85" s="7" t="s">
        <v>186</v>
      </c>
      <c r="I85" s="15" t="s">
        <v>194</v>
      </c>
      <c r="J85" s="15">
        <v>20011443907</v>
      </c>
      <c r="K85" s="6" t="s">
        <v>359</v>
      </c>
      <c r="L85" s="6" t="s">
        <v>450</v>
      </c>
      <c r="M85" s="13">
        <v>31</v>
      </c>
      <c r="N85" s="14">
        <v>31</v>
      </c>
      <c r="O85" s="44">
        <v>5</v>
      </c>
      <c r="P85" s="44">
        <v>0</v>
      </c>
      <c r="Q85" s="44">
        <v>0</v>
      </c>
      <c r="R85" s="45">
        <v>0</v>
      </c>
      <c r="S85" s="42">
        <v>0</v>
      </c>
      <c r="T85" s="48">
        <v>1250000</v>
      </c>
      <c r="U85" s="42">
        <v>125000</v>
      </c>
      <c r="V85" s="46">
        <v>1125000</v>
      </c>
      <c r="W85" s="46">
        <v>2291666.6666666665</v>
      </c>
      <c r="X85" s="59">
        <f>Table1617[[#This Row],[YTD Professional Fee]]*10%</f>
        <v>229166.66666666666</v>
      </c>
      <c r="Y85" s="47" t="e">
        <v>#N/A</v>
      </c>
      <c r="Z85" s="60"/>
    </row>
    <row r="86" spans="1:26" x14ac:dyDescent="0.35">
      <c r="A86" s="41" t="s">
        <v>116</v>
      </c>
      <c r="B86" s="7" t="s">
        <v>109</v>
      </c>
      <c r="C86" s="50">
        <v>142706</v>
      </c>
      <c r="D86" s="54">
        <v>46204</v>
      </c>
      <c r="E86" s="43" t="s">
        <v>468</v>
      </c>
      <c r="F86" s="43" t="s">
        <v>120</v>
      </c>
      <c r="G86" s="6" t="s">
        <v>131</v>
      </c>
      <c r="H86" s="7" t="s">
        <v>167</v>
      </c>
      <c r="I86" s="15" t="s">
        <v>194</v>
      </c>
      <c r="J86" s="15">
        <v>30614912010</v>
      </c>
      <c r="K86" s="6" t="s">
        <v>360</v>
      </c>
      <c r="L86" s="6" t="s">
        <v>451</v>
      </c>
      <c r="M86" s="13">
        <v>31</v>
      </c>
      <c r="N86" s="14">
        <v>31</v>
      </c>
      <c r="O86" s="44">
        <v>5</v>
      </c>
      <c r="P86" s="44">
        <v>0</v>
      </c>
      <c r="Q86" s="44">
        <v>0</v>
      </c>
      <c r="R86" s="45">
        <v>0</v>
      </c>
      <c r="S86" s="42">
        <v>0</v>
      </c>
      <c r="T86" s="48">
        <v>200000</v>
      </c>
      <c r="U86" s="42">
        <v>20000</v>
      </c>
      <c r="V86" s="46">
        <v>180000</v>
      </c>
      <c r="W86" s="46">
        <v>366666.66666666669</v>
      </c>
      <c r="X86" s="59">
        <f>Table1617[[#This Row],[YTD Professional Fee]]*10%</f>
        <v>36666.666666666672</v>
      </c>
      <c r="Y86" s="47" t="e">
        <v>#N/A</v>
      </c>
      <c r="Z86" s="60"/>
    </row>
    <row r="87" spans="1:26" x14ac:dyDescent="0.35">
      <c r="A87" s="41" t="s">
        <v>116</v>
      </c>
      <c r="B87" s="7" t="s">
        <v>110</v>
      </c>
      <c r="C87" s="50">
        <v>142707</v>
      </c>
      <c r="D87" s="54">
        <v>46209</v>
      </c>
      <c r="E87" s="43" t="s">
        <v>468</v>
      </c>
      <c r="F87" s="43" t="s">
        <v>120</v>
      </c>
      <c r="G87" s="6" t="s">
        <v>124</v>
      </c>
      <c r="H87" s="7" t="s">
        <v>185</v>
      </c>
      <c r="I87" s="15" t="s">
        <v>194</v>
      </c>
      <c r="J87" s="15">
        <v>20287914257</v>
      </c>
      <c r="K87" s="6" t="s">
        <v>361</v>
      </c>
      <c r="L87" s="6" t="s">
        <v>452</v>
      </c>
      <c r="M87" s="13">
        <v>31</v>
      </c>
      <c r="N87" s="14">
        <v>31</v>
      </c>
      <c r="O87" s="44">
        <v>5</v>
      </c>
      <c r="P87" s="44">
        <v>0</v>
      </c>
      <c r="Q87" s="44">
        <v>0</v>
      </c>
      <c r="R87" s="45">
        <v>0</v>
      </c>
      <c r="S87" s="42">
        <v>0</v>
      </c>
      <c r="T87" s="48">
        <v>740000</v>
      </c>
      <c r="U87" s="42">
        <v>74000</v>
      </c>
      <c r="V87" s="46">
        <v>666000</v>
      </c>
      <c r="W87" s="46">
        <v>1233333.3333333335</v>
      </c>
      <c r="X87" s="59">
        <f>Table1617[[#This Row],[YTD Professional Fee]]*10%</f>
        <v>123333.33333333336</v>
      </c>
      <c r="Y87" s="47" t="e">
        <v>#N/A</v>
      </c>
      <c r="Z87" s="60"/>
    </row>
    <row r="88" spans="1:26" x14ac:dyDescent="0.35">
      <c r="A88" s="41" t="s">
        <v>116</v>
      </c>
      <c r="B88" s="7" t="s">
        <v>111</v>
      </c>
      <c r="C88" s="50">
        <v>142478</v>
      </c>
      <c r="D88" s="54">
        <v>46205</v>
      </c>
      <c r="E88" s="43" t="s">
        <v>468</v>
      </c>
      <c r="F88" s="43" t="s">
        <v>120</v>
      </c>
      <c r="G88" s="6" t="s">
        <v>124</v>
      </c>
      <c r="H88" s="7" t="s">
        <v>187</v>
      </c>
      <c r="I88" s="15" t="s">
        <v>191</v>
      </c>
      <c r="J88" s="15" t="s">
        <v>282</v>
      </c>
      <c r="K88" s="6" t="s">
        <v>362</v>
      </c>
      <c r="L88" s="6" t="s">
        <v>453</v>
      </c>
      <c r="M88" s="13">
        <v>31</v>
      </c>
      <c r="N88" s="14">
        <v>31</v>
      </c>
      <c r="O88" s="44">
        <v>5</v>
      </c>
      <c r="P88" s="44">
        <v>0</v>
      </c>
      <c r="Q88" s="44">
        <v>0</v>
      </c>
      <c r="R88" s="45">
        <v>1</v>
      </c>
      <c r="S88" s="42">
        <v>0</v>
      </c>
      <c r="T88" s="48">
        <v>300000</v>
      </c>
      <c r="U88" s="42">
        <v>30000</v>
      </c>
      <c r="V88" s="46">
        <v>270000</v>
      </c>
      <c r="W88" s="46">
        <v>540000</v>
      </c>
      <c r="X88" s="59">
        <f>Table1617[[#This Row],[YTD Professional Fee]]*10%</f>
        <v>54000</v>
      </c>
      <c r="Y88" s="47" t="e">
        <v>#N/A</v>
      </c>
      <c r="Z88" s="60"/>
    </row>
    <row r="89" spans="1:26" x14ac:dyDescent="0.35">
      <c r="A89" s="41" t="s">
        <v>116</v>
      </c>
      <c r="B89" s="7" t="s">
        <v>112</v>
      </c>
      <c r="C89" s="50">
        <v>142705</v>
      </c>
      <c r="D89" s="54">
        <v>46204</v>
      </c>
      <c r="E89" s="43" t="s">
        <v>468</v>
      </c>
      <c r="F89" s="43" t="s">
        <v>120</v>
      </c>
      <c r="G89" s="6" t="s">
        <v>127</v>
      </c>
      <c r="H89" s="7" t="s">
        <v>164</v>
      </c>
      <c r="I89" s="7" t="s">
        <v>205</v>
      </c>
      <c r="J89" s="15" t="s">
        <v>283</v>
      </c>
      <c r="K89" s="6" t="s">
        <v>363</v>
      </c>
      <c r="L89" s="6" t="s">
        <v>454</v>
      </c>
      <c r="M89" s="13">
        <v>31</v>
      </c>
      <c r="N89" s="14">
        <v>31</v>
      </c>
      <c r="O89" s="44">
        <v>5</v>
      </c>
      <c r="P89" s="44">
        <v>0</v>
      </c>
      <c r="Q89" s="44">
        <v>0</v>
      </c>
      <c r="R89" s="45">
        <v>2</v>
      </c>
      <c r="S89" s="42">
        <v>0</v>
      </c>
      <c r="T89" s="48">
        <v>275000</v>
      </c>
      <c r="U89" s="42">
        <v>27500</v>
      </c>
      <c r="V89" s="46">
        <v>247500</v>
      </c>
      <c r="W89" s="46">
        <v>504166.66666666663</v>
      </c>
      <c r="X89" s="59">
        <f>Table1617[[#This Row],[YTD Professional Fee]]*10%</f>
        <v>50416.666666666664</v>
      </c>
      <c r="Y89" s="47" t="e">
        <v>#N/A</v>
      </c>
      <c r="Z89" s="60"/>
    </row>
    <row r="90" spans="1:26" x14ac:dyDescent="0.35">
      <c r="A90" s="41" t="s">
        <v>116</v>
      </c>
      <c r="B90" s="7" t="s">
        <v>113</v>
      </c>
      <c r="C90" s="50">
        <v>142701</v>
      </c>
      <c r="D90" s="54">
        <v>46218</v>
      </c>
      <c r="E90" s="43" t="s">
        <v>468</v>
      </c>
      <c r="F90" s="43" t="s">
        <v>120</v>
      </c>
      <c r="G90" s="6" t="s">
        <v>124</v>
      </c>
      <c r="H90" s="7" t="s">
        <v>145</v>
      </c>
      <c r="I90" s="15" t="s">
        <v>192</v>
      </c>
      <c r="J90" s="15" t="s">
        <v>284</v>
      </c>
      <c r="K90" s="6" t="s">
        <v>364</v>
      </c>
      <c r="L90" s="6" t="s">
        <v>455</v>
      </c>
      <c r="M90" s="13">
        <v>31</v>
      </c>
      <c r="N90" s="14">
        <v>31</v>
      </c>
      <c r="O90" s="44">
        <v>5</v>
      </c>
      <c r="P90" s="44">
        <v>0</v>
      </c>
      <c r="Q90" s="44">
        <v>0</v>
      </c>
      <c r="R90" s="45">
        <v>0</v>
      </c>
      <c r="S90" s="42">
        <v>0</v>
      </c>
      <c r="T90" s="48">
        <v>275000</v>
      </c>
      <c r="U90" s="42">
        <v>27500</v>
      </c>
      <c r="V90" s="46">
        <v>247500</v>
      </c>
      <c r="W90" s="46">
        <v>375833.33333333331</v>
      </c>
      <c r="X90" s="59">
        <f>Table1617[[#This Row],[YTD Professional Fee]]*10%</f>
        <v>37583.333333333336</v>
      </c>
      <c r="Y90" s="47" t="e">
        <v>#N/A</v>
      </c>
      <c r="Z90" s="47"/>
    </row>
    <row r="91" spans="1:26" x14ac:dyDescent="0.35">
      <c r="A91" s="41" t="s">
        <v>116</v>
      </c>
      <c r="B91" s="6" t="s">
        <v>114</v>
      </c>
      <c r="C91" s="50">
        <v>142664</v>
      </c>
      <c r="D91" s="54">
        <v>46230</v>
      </c>
      <c r="E91" s="43" t="s">
        <v>468</v>
      </c>
      <c r="F91" s="43" t="s">
        <v>120</v>
      </c>
      <c r="G91" s="6" t="s">
        <v>127</v>
      </c>
      <c r="H91" s="7" t="s">
        <v>188</v>
      </c>
      <c r="I91" s="15" t="s">
        <v>191</v>
      </c>
      <c r="J91" s="15" t="s">
        <v>285</v>
      </c>
      <c r="K91" s="6" t="s">
        <v>365</v>
      </c>
      <c r="L91" s="6" t="s">
        <v>456</v>
      </c>
      <c r="M91" s="13">
        <v>31</v>
      </c>
      <c r="N91" s="14">
        <v>30</v>
      </c>
      <c r="O91" s="44">
        <v>5</v>
      </c>
      <c r="P91" s="44">
        <v>0</v>
      </c>
      <c r="Q91" s="44">
        <v>0</v>
      </c>
      <c r="R91" s="45">
        <v>1</v>
      </c>
      <c r="S91" s="42">
        <v>0</v>
      </c>
      <c r="T91" s="48">
        <v>967741.93548387103</v>
      </c>
      <c r="U91" s="42">
        <v>96774.193548387106</v>
      </c>
      <c r="V91" s="46">
        <v>870967.74193548388</v>
      </c>
      <c r="W91" s="46">
        <v>967741.93548387103</v>
      </c>
      <c r="X91" s="59">
        <f>Table1617[[#This Row],[YTD Professional Fee]]*10%</f>
        <v>96774.193548387106</v>
      </c>
      <c r="Y91" s="47" t="e">
        <v>#N/A</v>
      </c>
      <c r="Z91" s="60"/>
    </row>
    <row r="92" spans="1:26" x14ac:dyDescent="0.35">
      <c r="A92" s="41" t="s">
        <v>116</v>
      </c>
      <c r="B92" s="6" t="s">
        <v>115</v>
      </c>
      <c r="C92" s="50">
        <v>142966</v>
      </c>
      <c r="D92" s="54">
        <v>46246</v>
      </c>
      <c r="E92" s="43" t="s">
        <v>468</v>
      </c>
      <c r="F92" s="43" t="s">
        <v>120</v>
      </c>
      <c r="G92" s="6" t="s">
        <v>124</v>
      </c>
      <c r="H92" s="7" t="s">
        <v>149</v>
      </c>
      <c r="I92" s="33" t="s">
        <v>206</v>
      </c>
      <c r="J92" s="15">
        <v>6826156060</v>
      </c>
      <c r="K92" s="6" t="s">
        <v>366</v>
      </c>
      <c r="L92" s="6" t="s">
        <v>457</v>
      </c>
      <c r="M92" s="13">
        <v>31</v>
      </c>
      <c r="N92" s="14">
        <v>14</v>
      </c>
      <c r="O92" s="44">
        <v>5</v>
      </c>
      <c r="P92" s="44">
        <v>0</v>
      </c>
      <c r="Q92" s="44">
        <v>0</v>
      </c>
      <c r="R92" s="45">
        <v>0</v>
      </c>
      <c r="S92" s="42">
        <v>0</v>
      </c>
      <c r="T92" s="48">
        <v>203225.80645161291</v>
      </c>
      <c r="U92" s="42">
        <v>20322.580645161292</v>
      </c>
      <c r="V92" s="46">
        <v>182903.22580645161</v>
      </c>
      <c r="W92" s="46">
        <v>203225.80645161291</v>
      </c>
      <c r="X92" s="59">
        <f>Table1617[[#This Row],[YTD Professional Fee]]*10%</f>
        <v>20322.580645161292</v>
      </c>
      <c r="Y92" s="47" t="e">
        <v>#N/A</v>
      </c>
      <c r="Z92" s="60"/>
    </row>
    <row r="93" spans="1:26" x14ac:dyDescent="0.35">
      <c r="A93" s="38"/>
      <c r="B93" s="38"/>
      <c r="C93" s="38"/>
      <c r="D93" s="38"/>
      <c r="E93" s="38"/>
      <c r="F93" s="38"/>
      <c r="G93" s="38"/>
      <c r="H93" s="38"/>
      <c r="I93" s="38"/>
      <c r="J93" s="39"/>
      <c r="K93" s="40"/>
      <c r="L93" s="40"/>
      <c r="M93" s="40"/>
      <c r="N93" s="40"/>
      <c r="O93" s="40"/>
      <c r="P93" s="40"/>
      <c r="Q93" s="38"/>
      <c r="R93" s="40"/>
      <c r="S93" s="40"/>
      <c r="T93" s="40"/>
      <c r="U93" s="40"/>
      <c r="V93" s="38"/>
      <c r="W93" s="38"/>
      <c r="X93" s="38"/>
      <c r="Y93" s="38"/>
    </row>
  </sheetData>
  <conditionalFormatting sqref="B1">
    <cfRule type="expression" dxfId="18" priority="28" stopIfTrue="1">
      <formula>AND(COUNTIF(#REF!, B1)+COUNTIF(#REF!, B1)+COUNTIF(#REF!, B1)+COUNTIF(#REF!, B1)&gt;1,NOT(ISBLANK(B1)))</formula>
    </cfRule>
  </conditionalFormatting>
  <conditionalFormatting sqref="D49:D92">
    <cfRule type="cellIs" dxfId="17" priority="17" operator="equal">
      <formula>"W"</formula>
    </cfRule>
  </conditionalFormatting>
  <conditionalFormatting sqref="J2:J48">
    <cfRule type="expression" dxfId="16" priority="120" stopIfTrue="1">
      <formula>AND(COUNTIF($S$2:$S$21, J2)+COUNTIF(#REF!, J2)&gt;1,NOT(ISBLANK(J2)))</formula>
    </cfRule>
    <cfRule type="expression" dxfId="15" priority="121" stopIfTrue="1">
      <formula>AND(COUNTIF($S$1:$S$9, J2)+COUNTIF($S$10:$S$65535, J2)&gt;1,NOT(ISBLANK(J2)))</formula>
    </cfRule>
  </conditionalFormatting>
  <conditionalFormatting sqref="J49:J61 J63">
    <cfRule type="expression" dxfId="14" priority="7" stopIfTrue="1">
      <formula>AND(COUNTIF(#REF!,J49)+COUNTIF(#REF!,J49)&gt;1,NOT(ISBLANK(J49)))</formula>
    </cfRule>
    <cfRule type="expression" dxfId="13" priority="8" stopIfTrue="1">
      <formula>AND(COUNTIF(#REF!, J49)+COUNTIF(#REF!, J49)&gt;1,NOT(ISBLANK(J49)))</formula>
    </cfRule>
  </conditionalFormatting>
  <conditionalFormatting sqref="J64">
    <cfRule type="expression" dxfId="12" priority="122" stopIfTrue="1">
      <formula>AND(COUNTIF($BA$2:$BA$10,J64)+COUNTIF($BA$11:$BA$65535,J64)&gt;1,NOT(ISBLANK(J64)))</formula>
    </cfRule>
    <cfRule type="expression" dxfId="11" priority="123" stopIfTrue="1">
      <formula>AND(COUNTIF(#REF!, J64)+COUNTIF($BA$3:$BA$9, J64)&gt;1,NOT(ISBLANK(J64)))</formula>
    </cfRule>
  </conditionalFormatting>
  <conditionalFormatting sqref="J76">
    <cfRule type="expression" dxfId="10" priority="99" stopIfTrue="1">
      <formula>AND(COUNTIF(#REF!, J76)+COUNTIF($BA$3:$BA$10, J76)&gt;1,NOT(ISBLANK(J76)))</formula>
    </cfRule>
    <cfRule type="expression" dxfId="9" priority="100" stopIfTrue="1">
      <formula>AND(COUNTIF($BA$2:$BA$12,J76)+COUNTIF($BA$14:$BA$65530,J76)&gt;1,NOT(ISBLANK(J76)))</formula>
    </cfRule>
  </conditionalFormatting>
  <conditionalFormatting sqref="J84:J92">
    <cfRule type="expression" dxfId="8" priority="101" stopIfTrue="1">
      <formula>AND(COUNTIF($AZ$2:$AZ$8,J84)+COUNTIF($AZ$9:$AZ$65529,J84)&gt;1,NOT(ISBLANK(J84)))</formula>
    </cfRule>
    <cfRule type="expression" dxfId="7" priority="102" stopIfTrue="1">
      <formula>AND(COUNTIF($AZ$8:$AZ$8, J84)+COUNTIF($AZ$3:$AZ$6, J84)&gt;1,NOT(ISBLANK(J84)))</formula>
    </cfRule>
  </conditionalFormatting>
  <conditionalFormatting sqref="L2:L43">
    <cfRule type="expression" dxfId="6" priority="124" stopIfTrue="1">
      <formula>AND(COUNTIF($H$1:$H$9, L2)+COUNTIF($H$10:$H$65535, L2)&gt;1,NOT(ISBLANK(L2)))</formula>
    </cfRule>
    <cfRule type="expression" dxfId="5" priority="125" stopIfTrue="1">
      <formula>AND(COUNTIF($H$2:$H$9, L2)+COUNTIF($H$10:$H$94, L2)&gt;1,NOT(ISBLANK(L2)))</formula>
    </cfRule>
  </conditionalFormatting>
  <conditionalFormatting sqref="L49 L51:L62">
    <cfRule type="expression" dxfId="4" priority="126" stopIfTrue="1">
      <formula>AND(COUNTIF($BB$2:$BB$12, L49)+COUNTIF($BB$26:$BB$65535, L49)&gt;1,NOT(ISBLANK(L49)))</formula>
    </cfRule>
  </conditionalFormatting>
  <conditionalFormatting sqref="L63">
    <cfRule type="expression" dxfId="3" priority="128" stopIfTrue="1">
      <formula>AND(COUNTIF($BB$2:$BB$12, L63)+COUNTIF($BB$34:$BB$65535, L63)&gt;1,NOT(ISBLANK(L63)))</formula>
    </cfRule>
  </conditionalFormatting>
  <conditionalFormatting sqref="L64:L83">
    <cfRule type="expression" dxfId="2" priority="129" stopIfTrue="1">
      <formula>AND(COUNTIF($BC$2:$BC$12, L64)+COUNTIF($BC$33:$BC$65535, L64)&gt;1,NOT(ISBLANK(L64)))</formula>
    </cfRule>
  </conditionalFormatting>
  <conditionalFormatting sqref="L84:L92">
    <cfRule type="expression" dxfId="1" priority="105" stopIfTrue="1">
      <formula>AND(COUNTIF($BB$2:$BB$8, L84)+COUNTIF($BB$31:$BB$65529, L84)&gt;1,NOT(ISBLANK(L84)))</formula>
    </cfRule>
  </conditionalFormatting>
  <conditionalFormatting sqref="R2:R92">
    <cfRule type="expression" dxfId="0" priority="131" stopIfTrue="1">
      <formula>AND(COUNTIF($R$2:$R$92, R2)+COUNTIF(#REF!, R2)&gt;1,NOT(ISBLANK(R2)))</formula>
    </cfRule>
  </conditionalFormatting>
  <dataValidations disablePrompts="1" count="1">
    <dataValidation allowBlank="1" showInputMessage="1" showErrorMessage="1" sqref="T65502 JO65502 TK65502 ADG65502 ANC65502 AWY65502 BGU65502 BQQ65502 CAM65502 CKI65502 CUE65502 DEA65502 DNW65502 DXS65502 EHO65502 ERK65502 FBG65502 FLC65502 FUY65502 GEU65502 GOQ65502 GYM65502 HII65502 HSE65502 ICA65502 ILW65502 IVS65502 JFO65502 JPK65502 JZG65502 KJC65502 KSY65502 LCU65502 LMQ65502 LWM65502 MGI65502 MQE65502 NAA65502 NJW65502 NTS65502 ODO65502 ONK65502 OXG65502 PHC65502 PQY65502 QAU65502 QKQ65502 QUM65502 REI65502 ROE65502 RYA65502 SHW65502 SRS65502 TBO65502 TLK65502 TVG65502 UFC65502 UOY65502 UYU65502 VIQ65502 VSM65502 WCI65502 WME65502 WWA65502 T131038 JO131038 TK131038 ADG131038 ANC131038 AWY131038 BGU131038 BQQ131038 CAM131038 CKI131038 CUE131038 DEA131038 DNW131038 DXS131038 EHO131038 ERK131038 FBG131038 FLC131038 FUY131038 GEU131038 GOQ131038 GYM131038 HII131038 HSE131038 ICA131038 ILW131038 IVS131038 JFO131038 JPK131038 JZG131038 KJC131038 KSY131038 LCU131038 LMQ131038 LWM131038 MGI131038 MQE131038 NAA131038 NJW131038 NTS131038 ODO131038 ONK131038 OXG131038 PHC131038 PQY131038 QAU131038 QKQ131038 QUM131038 REI131038 ROE131038 RYA131038 SHW131038 SRS131038 TBO131038 TLK131038 TVG131038 UFC131038 UOY131038 UYU131038 VIQ131038 VSM131038 WCI131038 WME131038 WWA131038 T196574 JO196574 TK196574 ADG196574 ANC196574 AWY196574 BGU196574 BQQ196574 CAM196574 CKI196574 CUE196574 DEA196574 DNW196574 DXS196574 EHO196574 ERK196574 FBG196574 FLC196574 FUY196574 GEU196574 GOQ196574 GYM196574 HII196574 HSE196574 ICA196574 ILW196574 IVS196574 JFO196574 JPK196574 JZG196574 KJC196574 KSY196574 LCU196574 LMQ196574 LWM196574 MGI196574 MQE196574 NAA196574 NJW196574 NTS196574 ODO196574 ONK196574 OXG196574 PHC196574 PQY196574 QAU196574 QKQ196574 QUM196574 REI196574 ROE196574 RYA196574 SHW196574 SRS196574 TBO196574 TLK196574 TVG196574 UFC196574 UOY196574 UYU196574 VIQ196574 VSM196574 WCI196574 WME196574 WWA196574 T262110 JO262110 TK262110 ADG262110 ANC262110 AWY262110 BGU262110 BQQ262110 CAM262110 CKI262110 CUE262110 DEA262110 DNW262110 DXS262110 EHO262110 ERK262110 FBG262110 FLC262110 FUY262110 GEU262110 GOQ262110 GYM262110 HII262110 HSE262110 ICA262110 ILW262110 IVS262110 JFO262110 JPK262110 JZG262110 KJC262110 KSY262110 LCU262110 LMQ262110 LWM262110 MGI262110 MQE262110 NAA262110 NJW262110 NTS262110 ODO262110 ONK262110 OXG262110 PHC262110 PQY262110 QAU262110 QKQ262110 QUM262110 REI262110 ROE262110 RYA262110 SHW262110 SRS262110 TBO262110 TLK262110 TVG262110 UFC262110 UOY262110 UYU262110 VIQ262110 VSM262110 WCI262110 WME262110 WWA262110 T327646 JO327646 TK327646 ADG327646 ANC327646 AWY327646 BGU327646 BQQ327646 CAM327646 CKI327646 CUE327646 DEA327646 DNW327646 DXS327646 EHO327646 ERK327646 FBG327646 FLC327646 FUY327646 GEU327646 GOQ327646 GYM327646 HII327646 HSE327646 ICA327646 ILW327646 IVS327646 JFO327646 JPK327646 JZG327646 KJC327646 KSY327646 LCU327646 LMQ327646 LWM327646 MGI327646 MQE327646 NAA327646 NJW327646 NTS327646 ODO327646 ONK327646 OXG327646 PHC327646 PQY327646 QAU327646 QKQ327646 QUM327646 REI327646 ROE327646 RYA327646 SHW327646 SRS327646 TBO327646 TLK327646 TVG327646 UFC327646 UOY327646 UYU327646 VIQ327646 VSM327646 WCI327646 WME327646 WWA327646 T393182 JO393182 TK393182 ADG393182 ANC393182 AWY393182 BGU393182 BQQ393182 CAM393182 CKI393182 CUE393182 DEA393182 DNW393182 DXS393182 EHO393182 ERK393182 FBG393182 FLC393182 FUY393182 GEU393182 GOQ393182 GYM393182 HII393182 HSE393182 ICA393182 ILW393182 IVS393182 JFO393182 JPK393182 JZG393182 KJC393182 KSY393182 LCU393182 LMQ393182 LWM393182 MGI393182 MQE393182 NAA393182 NJW393182 NTS393182 ODO393182 ONK393182 OXG393182 PHC393182 PQY393182 QAU393182 QKQ393182 QUM393182 REI393182 ROE393182 RYA393182 SHW393182 SRS393182 TBO393182 TLK393182 TVG393182 UFC393182 UOY393182 UYU393182 VIQ393182 VSM393182 WCI393182 WME393182 WWA393182 T458718 JO458718 TK458718 ADG458718 ANC458718 AWY458718 BGU458718 BQQ458718 CAM458718 CKI458718 CUE458718 DEA458718 DNW458718 DXS458718 EHO458718 ERK458718 FBG458718 FLC458718 FUY458718 GEU458718 GOQ458718 GYM458718 HII458718 HSE458718 ICA458718 ILW458718 IVS458718 JFO458718 JPK458718 JZG458718 KJC458718 KSY458718 LCU458718 LMQ458718 LWM458718 MGI458718 MQE458718 NAA458718 NJW458718 NTS458718 ODO458718 ONK458718 OXG458718 PHC458718 PQY458718 QAU458718 QKQ458718 QUM458718 REI458718 ROE458718 RYA458718 SHW458718 SRS458718 TBO458718 TLK458718 TVG458718 UFC458718 UOY458718 UYU458718 VIQ458718 VSM458718 WCI458718 WME458718 WWA458718 T524254 JO524254 TK524254 ADG524254 ANC524254 AWY524254 BGU524254 BQQ524254 CAM524254 CKI524254 CUE524254 DEA524254 DNW524254 DXS524254 EHO524254 ERK524254 FBG524254 FLC524254 FUY524254 GEU524254 GOQ524254 GYM524254 HII524254 HSE524254 ICA524254 ILW524254 IVS524254 JFO524254 JPK524254 JZG524254 KJC524254 KSY524254 LCU524254 LMQ524254 LWM524254 MGI524254 MQE524254 NAA524254 NJW524254 NTS524254 ODO524254 ONK524254 OXG524254 PHC524254 PQY524254 QAU524254 QKQ524254 QUM524254 REI524254 ROE524254 RYA524254 SHW524254 SRS524254 TBO524254 TLK524254 TVG524254 UFC524254 UOY524254 UYU524254 VIQ524254 VSM524254 WCI524254 WME524254 WWA524254 T589790 JO589790 TK589790 ADG589790 ANC589790 AWY589790 BGU589790 BQQ589790 CAM589790 CKI589790 CUE589790 DEA589790 DNW589790 DXS589790 EHO589790 ERK589790 FBG589790 FLC589790 FUY589790 GEU589790 GOQ589790 GYM589790 HII589790 HSE589790 ICA589790 ILW589790 IVS589790 JFO589790 JPK589790 JZG589790 KJC589790 KSY589790 LCU589790 LMQ589790 LWM589790 MGI589790 MQE589790 NAA589790 NJW589790 NTS589790 ODO589790 ONK589790 OXG589790 PHC589790 PQY589790 QAU589790 QKQ589790 QUM589790 REI589790 ROE589790 RYA589790 SHW589790 SRS589790 TBO589790 TLK589790 TVG589790 UFC589790 UOY589790 UYU589790 VIQ589790 VSM589790 WCI589790 WME589790 WWA589790 T655326 JO655326 TK655326 ADG655326 ANC655326 AWY655326 BGU655326 BQQ655326 CAM655326 CKI655326 CUE655326 DEA655326 DNW655326 DXS655326 EHO655326 ERK655326 FBG655326 FLC655326 FUY655326 GEU655326 GOQ655326 GYM655326 HII655326 HSE655326 ICA655326 ILW655326 IVS655326 JFO655326 JPK655326 JZG655326 KJC655326 KSY655326 LCU655326 LMQ655326 LWM655326 MGI655326 MQE655326 NAA655326 NJW655326 NTS655326 ODO655326 ONK655326 OXG655326 PHC655326 PQY655326 QAU655326 QKQ655326 QUM655326 REI655326 ROE655326 RYA655326 SHW655326 SRS655326 TBO655326 TLK655326 TVG655326 UFC655326 UOY655326 UYU655326 VIQ655326 VSM655326 WCI655326 WME655326 WWA655326 T720862 JO720862 TK720862 ADG720862 ANC720862 AWY720862 BGU720862 BQQ720862 CAM720862 CKI720862 CUE720862 DEA720862 DNW720862 DXS720862 EHO720862 ERK720862 FBG720862 FLC720862 FUY720862 GEU720862 GOQ720862 GYM720862 HII720862 HSE720862 ICA720862 ILW720862 IVS720862 JFO720862 JPK720862 JZG720862 KJC720862 KSY720862 LCU720862 LMQ720862 LWM720862 MGI720862 MQE720862 NAA720862 NJW720862 NTS720862 ODO720862 ONK720862 OXG720862 PHC720862 PQY720862 QAU720862 QKQ720862 QUM720862 REI720862 ROE720862 RYA720862 SHW720862 SRS720862 TBO720862 TLK720862 TVG720862 UFC720862 UOY720862 UYU720862 VIQ720862 VSM720862 WCI720862 WME720862 WWA720862 T786398 JO786398 TK786398 ADG786398 ANC786398 AWY786398 BGU786398 BQQ786398 CAM786398 CKI786398 CUE786398 DEA786398 DNW786398 DXS786398 EHO786398 ERK786398 FBG786398 FLC786398 FUY786398 GEU786398 GOQ786398 GYM786398 HII786398 HSE786398 ICA786398 ILW786398 IVS786398 JFO786398 JPK786398 JZG786398 KJC786398 KSY786398 LCU786398 LMQ786398 LWM786398 MGI786398 MQE786398 NAA786398 NJW786398 NTS786398 ODO786398 ONK786398 OXG786398 PHC786398 PQY786398 QAU786398 QKQ786398 QUM786398 REI786398 ROE786398 RYA786398 SHW786398 SRS786398 TBO786398 TLK786398 TVG786398 UFC786398 UOY786398 UYU786398 VIQ786398 VSM786398 WCI786398 WME786398 WWA786398 T851934 JO851934 TK851934 ADG851934 ANC851934 AWY851934 BGU851934 BQQ851934 CAM851934 CKI851934 CUE851934 DEA851934 DNW851934 DXS851934 EHO851934 ERK851934 FBG851934 FLC851934 FUY851934 GEU851934 GOQ851934 GYM851934 HII851934 HSE851934 ICA851934 ILW851934 IVS851934 JFO851934 JPK851934 JZG851934 KJC851934 KSY851934 LCU851934 LMQ851934 LWM851934 MGI851934 MQE851934 NAA851934 NJW851934 NTS851934 ODO851934 ONK851934 OXG851934 PHC851934 PQY851934 QAU851934 QKQ851934 QUM851934 REI851934 ROE851934 RYA851934 SHW851934 SRS851934 TBO851934 TLK851934 TVG851934 UFC851934 UOY851934 UYU851934 VIQ851934 VSM851934 WCI851934 WME851934 WWA851934 T917470 JO917470 TK917470 ADG917470 ANC917470 AWY917470 BGU917470 BQQ917470 CAM917470 CKI917470 CUE917470 DEA917470 DNW917470 DXS917470 EHO917470 ERK917470 FBG917470 FLC917470 FUY917470 GEU917470 GOQ917470 GYM917470 HII917470 HSE917470 ICA917470 ILW917470 IVS917470 JFO917470 JPK917470 JZG917470 KJC917470 KSY917470 LCU917470 LMQ917470 LWM917470 MGI917470 MQE917470 NAA917470 NJW917470 NTS917470 ODO917470 ONK917470 OXG917470 PHC917470 PQY917470 QAU917470 QKQ917470 QUM917470 REI917470 ROE917470 RYA917470 SHW917470 SRS917470 TBO917470 TLK917470 TVG917470 UFC917470 UOY917470 UYU917470 VIQ917470 VSM917470 WCI917470 WME917470 WWA917470 T983006 JO983006 TK983006 ADG983006 ANC983006 AWY983006 BGU983006 BQQ983006 CAM983006 CKI983006 CUE983006 DEA983006 DNW983006 DXS983006 EHO983006 ERK983006 FBG983006 FLC983006 FUY983006 GEU983006 GOQ983006 GYM983006 HII983006 HSE983006 ICA983006 ILW983006 IVS983006 JFO983006 JPK983006 JZG983006 KJC983006 KSY983006 LCU983006 LMQ983006 LWM983006 MGI983006 MQE983006 NAA983006 NJW983006 NTS983006 ODO983006 ONK983006 OXG983006 PHC983006 PQY983006 QAU983006 QKQ983006 QUM983006 REI983006 ROE983006 RYA983006 SHW983006 SRS983006 TBO983006 TLK983006 TVG983006 UFC983006 UOY983006 UYU983006 VIQ983006 VSM983006 WCI983006 WME983006 WWA983006 T65515 JO65515 TK65515 ADG65515 ANC65515 AWY65515 BGU65515 BQQ65515 CAM65515 CKI65515 CUE65515 DEA65515 DNW65515 DXS65515 EHO65515 ERK65515 FBG65515 FLC65515 FUY65515 GEU65515 GOQ65515 GYM65515 HII65515 HSE65515 ICA65515 ILW65515 IVS65515 JFO65515 JPK65515 JZG65515 KJC65515 KSY65515 LCU65515 LMQ65515 LWM65515 MGI65515 MQE65515 NAA65515 NJW65515 NTS65515 ODO65515 ONK65515 OXG65515 PHC65515 PQY65515 QAU65515 QKQ65515 QUM65515 REI65515 ROE65515 RYA65515 SHW65515 SRS65515 TBO65515 TLK65515 TVG65515 UFC65515 UOY65515 UYU65515 VIQ65515 VSM65515 WCI65515 WME65515 WWA65515 T131051 JO131051 TK131051 ADG131051 ANC131051 AWY131051 BGU131051 BQQ131051 CAM131051 CKI131051 CUE131051 DEA131051 DNW131051 DXS131051 EHO131051 ERK131051 FBG131051 FLC131051 FUY131051 GEU131051 GOQ131051 GYM131051 HII131051 HSE131051 ICA131051 ILW131051 IVS131051 JFO131051 JPK131051 JZG131051 KJC131051 KSY131051 LCU131051 LMQ131051 LWM131051 MGI131051 MQE131051 NAA131051 NJW131051 NTS131051 ODO131051 ONK131051 OXG131051 PHC131051 PQY131051 QAU131051 QKQ131051 QUM131051 REI131051 ROE131051 RYA131051 SHW131051 SRS131051 TBO131051 TLK131051 TVG131051 UFC131051 UOY131051 UYU131051 VIQ131051 VSM131051 WCI131051 WME131051 WWA131051 T196587 JO196587 TK196587 ADG196587 ANC196587 AWY196587 BGU196587 BQQ196587 CAM196587 CKI196587 CUE196587 DEA196587 DNW196587 DXS196587 EHO196587 ERK196587 FBG196587 FLC196587 FUY196587 GEU196587 GOQ196587 GYM196587 HII196587 HSE196587 ICA196587 ILW196587 IVS196587 JFO196587 JPK196587 JZG196587 KJC196587 KSY196587 LCU196587 LMQ196587 LWM196587 MGI196587 MQE196587 NAA196587 NJW196587 NTS196587 ODO196587 ONK196587 OXG196587 PHC196587 PQY196587 QAU196587 QKQ196587 QUM196587 REI196587 ROE196587 RYA196587 SHW196587 SRS196587 TBO196587 TLK196587 TVG196587 UFC196587 UOY196587 UYU196587 VIQ196587 VSM196587 WCI196587 WME196587 WWA196587 T262123 JO262123 TK262123 ADG262123 ANC262123 AWY262123 BGU262123 BQQ262123 CAM262123 CKI262123 CUE262123 DEA262123 DNW262123 DXS262123 EHO262123 ERK262123 FBG262123 FLC262123 FUY262123 GEU262123 GOQ262123 GYM262123 HII262123 HSE262123 ICA262123 ILW262123 IVS262123 JFO262123 JPK262123 JZG262123 KJC262123 KSY262123 LCU262123 LMQ262123 LWM262123 MGI262123 MQE262123 NAA262123 NJW262123 NTS262123 ODO262123 ONK262123 OXG262123 PHC262123 PQY262123 QAU262123 QKQ262123 QUM262123 REI262123 ROE262123 RYA262123 SHW262123 SRS262123 TBO262123 TLK262123 TVG262123 UFC262123 UOY262123 UYU262123 VIQ262123 VSM262123 WCI262123 WME262123 WWA262123 T327659 JO327659 TK327659 ADG327659 ANC327659 AWY327659 BGU327659 BQQ327659 CAM327659 CKI327659 CUE327659 DEA327659 DNW327659 DXS327659 EHO327659 ERK327659 FBG327659 FLC327659 FUY327659 GEU327659 GOQ327659 GYM327659 HII327659 HSE327659 ICA327659 ILW327659 IVS327659 JFO327659 JPK327659 JZG327659 KJC327659 KSY327659 LCU327659 LMQ327659 LWM327659 MGI327659 MQE327659 NAA327659 NJW327659 NTS327659 ODO327659 ONK327659 OXG327659 PHC327659 PQY327659 QAU327659 QKQ327659 QUM327659 REI327659 ROE327659 RYA327659 SHW327659 SRS327659 TBO327659 TLK327659 TVG327659 UFC327659 UOY327659 UYU327659 VIQ327659 VSM327659 WCI327659 WME327659 WWA327659 T393195 JO393195 TK393195 ADG393195 ANC393195 AWY393195 BGU393195 BQQ393195 CAM393195 CKI393195 CUE393195 DEA393195 DNW393195 DXS393195 EHO393195 ERK393195 FBG393195 FLC393195 FUY393195 GEU393195 GOQ393195 GYM393195 HII393195 HSE393195 ICA393195 ILW393195 IVS393195 JFO393195 JPK393195 JZG393195 KJC393195 KSY393195 LCU393195 LMQ393195 LWM393195 MGI393195 MQE393195 NAA393195 NJW393195 NTS393195 ODO393195 ONK393195 OXG393195 PHC393195 PQY393195 QAU393195 QKQ393195 QUM393195 REI393195 ROE393195 RYA393195 SHW393195 SRS393195 TBO393195 TLK393195 TVG393195 UFC393195 UOY393195 UYU393195 VIQ393195 VSM393195 WCI393195 WME393195 WWA393195 T458731 JO458731 TK458731 ADG458731 ANC458731 AWY458731 BGU458731 BQQ458731 CAM458731 CKI458731 CUE458731 DEA458731 DNW458731 DXS458731 EHO458731 ERK458731 FBG458731 FLC458731 FUY458731 GEU458731 GOQ458731 GYM458731 HII458731 HSE458731 ICA458731 ILW458731 IVS458731 JFO458731 JPK458731 JZG458731 KJC458731 KSY458731 LCU458731 LMQ458731 LWM458731 MGI458731 MQE458731 NAA458731 NJW458731 NTS458731 ODO458731 ONK458731 OXG458731 PHC458731 PQY458731 QAU458731 QKQ458731 QUM458731 REI458731 ROE458731 RYA458731 SHW458731 SRS458731 TBO458731 TLK458731 TVG458731 UFC458731 UOY458731 UYU458731 VIQ458731 VSM458731 WCI458731 WME458731 WWA458731 T524267 JO524267 TK524267 ADG524267 ANC524267 AWY524267 BGU524267 BQQ524267 CAM524267 CKI524267 CUE524267 DEA524267 DNW524267 DXS524267 EHO524267 ERK524267 FBG524267 FLC524267 FUY524267 GEU524267 GOQ524267 GYM524267 HII524267 HSE524267 ICA524267 ILW524267 IVS524267 JFO524267 JPK524267 JZG524267 KJC524267 KSY524267 LCU524267 LMQ524267 LWM524267 MGI524267 MQE524267 NAA524267 NJW524267 NTS524267 ODO524267 ONK524267 OXG524267 PHC524267 PQY524267 QAU524267 QKQ524267 QUM524267 REI524267 ROE524267 RYA524267 SHW524267 SRS524267 TBO524267 TLK524267 TVG524267 UFC524267 UOY524267 UYU524267 VIQ524267 VSM524267 WCI524267 WME524267 WWA524267 T589803 JO589803 TK589803 ADG589803 ANC589803 AWY589803 BGU589803 BQQ589803 CAM589803 CKI589803 CUE589803 DEA589803 DNW589803 DXS589803 EHO589803 ERK589803 FBG589803 FLC589803 FUY589803 GEU589803 GOQ589803 GYM589803 HII589803 HSE589803 ICA589803 ILW589803 IVS589803 JFO589803 JPK589803 JZG589803 KJC589803 KSY589803 LCU589803 LMQ589803 LWM589803 MGI589803 MQE589803 NAA589803 NJW589803 NTS589803 ODO589803 ONK589803 OXG589803 PHC589803 PQY589803 QAU589803 QKQ589803 QUM589803 REI589803 ROE589803 RYA589803 SHW589803 SRS589803 TBO589803 TLK589803 TVG589803 UFC589803 UOY589803 UYU589803 VIQ589803 VSM589803 WCI589803 WME589803 WWA589803 T655339 JO655339 TK655339 ADG655339 ANC655339 AWY655339 BGU655339 BQQ655339 CAM655339 CKI655339 CUE655339 DEA655339 DNW655339 DXS655339 EHO655339 ERK655339 FBG655339 FLC655339 FUY655339 GEU655339 GOQ655339 GYM655339 HII655339 HSE655339 ICA655339 ILW655339 IVS655339 JFO655339 JPK655339 JZG655339 KJC655339 KSY655339 LCU655339 LMQ655339 LWM655339 MGI655339 MQE655339 NAA655339 NJW655339 NTS655339 ODO655339 ONK655339 OXG655339 PHC655339 PQY655339 QAU655339 QKQ655339 QUM655339 REI655339 ROE655339 RYA655339 SHW655339 SRS655339 TBO655339 TLK655339 TVG655339 UFC655339 UOY655339 UYU655339 VIQ655339 VSM655339 WCI655339 WME655339 WWA655339 T720875 JO720875 TK720875 ADG720875 ANC720875 AWY720875 BGU720875 BQQ720875 CAM720875 CKI720875 CUE720875 DEA720875 DNW720875 DXS720875 EHO720875 ERK720875 FBG720875 FLC720875 FUY720875 GEU720875 GOQ720875 GYM720875 HII720875 HSE720875 ICA720875 ILW720875 IVS720875 JFO720875 JPK720875 JZG720875 KJC720875 KSY720875 LCU720875 LMQ720875 LWM720875 MGI720875 MQE720875 NAA720875 NJW720875 NTS720875 ODO720875 ONK720875 OXG720875 PHC720875 PQY720875 QAU720875 QKQ720875 QUM720875 REI720875 ROE720875 RYA720875 SHW720875 SRS720875 TBO720875 TLK720875 TVG720875 UFC720875 UOY720875 UYU720875 VIQ720875 VSM720875 WCI720875 WME720875 WWA720875 T786411 JO786411 TK786411 ADG786411 ANC786411 AWY786411 BGU786411 BQQ786411 CAM786411 CKI786411 CUE786411 DEA786411 DNW786411 DXS786411 EHO786411 ERK786411 FBG786411 FLC786411 FUY786411 GEU786411 GOQ786411 GYM786411 HII786411 HSE786411 ICA786411 ILW786411 IVS786411 JFO786411 JPK786411 JZG786411 KJC786411 KSY786411 LCU786411 LMQ786411 LWM786411 MGI786411 MQE786411 NAA786411 NJW786411 NTS786411 ODO786411 ONK786411 OXG786411 PHC786411 PQY786411 QAU786411 QKQ786411 QUM786411 REI786411 ROE786411 RYA786411 SHW786411 SRS786411 TBO786411 TLK786411 TVG786411 UFC786411 UOY786411 UYU786411 VIQ786411 VSM786411 WCI786411 WME786411 WWA786411 T851947 JO851947 TK851947 ADG851947 ANC851947 AWY851947 BGU851947 BQQ851947 CAM851947 CKI851947 CUE851947 DEA851947 DNW851947 DXS851947 EHO851947 ERK851947 FBG851947 FLC851947 FUY851947 GEU851947 GOQ851947 GYM851947 HII851947 HSE851947 ICA851947 ILW851947 IVS851947 JFO851947 JPK851947 JZG851947 KJC851947 KSY851947 LCU851947 LMQ851947 LWM851947 MGI851947 MQE851947 NAA851947 NJW851947 NTS851947 ODO851947 ONK851947 OXG851947 PHC851947 PQY851947 QAU851947 QKQ851947 QUM851947 REI851947 ROE851947 RYA851947 SHW851947 SRS851947 TBO851947 TLK851947 TVG851947 UFC851947 UOY851947 UYU851947 VIQ851947 VSM851947 WCI851947 WME851947 WWA851947 T917483 JO917483 TK917483 ADG917483 ANC917483 AWY917483 BGU917483 BQQ917483 CAM917483 CKI917483 CUE917483 DEA917483 DNW917483 DXS917483 EHO917483 ERK917483 FBG917483 FLC917483 FUY917483 GEU917483 GOQ917483 GYM917483 HII917483 HSE917483 ICA917483 ILW917483 IVS917483 JFO917483 JPK917483 JZG917483 KJC917483 KSY917483 LCU917483 LMQ917483 LWM917483 MGI917483 MQE917483 NAA917483 NJW917483 NTS917483 ODO917483 ONK917483 OXG917483 PHC917483 PQY917483 QAU917483 QKQ917483 QUM917483 REI917483 ROE917483 RYA917483 SHW917483 SRS917483 TBO917483 TLK917483 TVG917483 UFC917483 UOY917483 UYU917483 VIQ917483 VSM917483 WCI917483 WME917483 WWA917483 T983019 JO983019 TK983019 ADG983019 ANC983019 AWY983019 BGU983019 BQQ983019 CAM983019 CKI983019 CUE983019 DEA983019 DNW983019 DXS983019 EHO983019 ERK983019 FBG983019 FLC983019 FUY983019 GEU983019 GOQ983019 GYM983019 HII983019 HSE983019 ICA983019 ILW983019 IVS983019 JFO983019 JPK983019 JZG983019 KJC983019 KSY983019 LCU983019 LMQ983019 LWM983019 MGI983019 MQE983019 NAA983019 NJW983019 NTS983019 ODO983019 ONK983019 OXG983019 PHC983019 PQY983019 QAU983019 QKQ983019 QUM983019 REI983019 ROE983019 RYA983019 SHW983019 SRS983019 TBO983019 TLK983019 TVG983019 UFC983019 UOY983019 UYU983019 VIQ983019 VSM983019 WCI983019 WME983019 WWA983019 I65524 JD65524 SZ65524 ACV65524 AMR65524 AWN65524 BGJ65524 BQF65524 CAB65524 CJX65524 CTT65524 DDP65524 DNL65524 DXH65524 EHD65524 EQZ65524 FAV65524 FKR65524 FUN65524 GEJ65524 GOF65524 GYB65524 HHX65524 HRT65524 IBP65524 ILL65524 IVH65524 JFD65524 JOZ65524 JYV65524 KIR65524 KSN65524 LCJ65524 LMF65524 LWB65524 MFX65524 MPT65524 MZP65524 NJL65524 NTH65524 ODD65524 OMZ65524 OWV65524 PGR65524 PQN65524 QAJ65524 QKF65524 QUB65524 RDX65524 RNT65524 RXP65524 SHL65524 SRH65524 TBD65524 TKZ65524 TUV65524 UER65524 UON65524 UYJ65524 VIF65524 VSB65524 WBX65524 WLT65524 WVP65524 I131060 JD131060 SZ131060 ACV131060 AMR131060 AWN131060 BGJ131060 BQF131060 CAB131060 CJX131060 CTT131060 DDP131060 DNL131060 DXH131060 EHD131060 EQZ131060 FAV131060 FKR131060 FUN131060 GEJ131060 GOF131060 GYB131060 HHX131060 HRT131060 IBP131060 ILL131060 IVH131060 JFD131060 JOZ131060 JYV131060 KIR131060 KSN131060 LCJ131060 LMF131060 LWB131060 MFX131060 MPT131060 MZP131060 NJL131060 NTH131060 ODD131060 OMZ131060 OWV131060 PGR131060 PQN131060 QAJ131060 QKF131060 QUB131060 RDX131060 RNT131060 RXP131060 SHL131060 SRH131060 TBD131060 TKZ131060 TUV131060 UER131060 UON131060 UYJ131060 VIF131060 VSB131060 WBX131060 WLT131060 WVP131060 I196596 JD196596 SZ196596 ACV196596 AMR196596 AWN196596 BGJ196596 BQF196596 CAB196596 CJX196596 CTT196596 DDP196596 DNL196596 DXH196596 EHD196596 EQZ196596 FAV196596 FKR196596 FUN196596 GEJ196596 GOF196596 GYB196596 HHX196596 HRT196596 IBP196596 ILL196596 IVH196596 JFD196596 JOZ196596 JYV196596 KIR196596 KSN196596 LCJ196596 LMF196596 LWB196596 MFX196596 MPT196596 MZP196596 NJL196596 NTH196596 ODD196596 OMZ196596 OWV196596 PGR196596 PQN196596 QAJ196596 QKF196596 QUB196596 RDX196596 RNT196596 RXP196596 SHL196596 SRH196596 TBD196596 TKZ196596 TUV196596 UER196596 UON196596 UYJ196596 VIF196596 VSB196596 WBX196596 WLT196596 WVP196596 I262132 JD262132 SZ262132 ACV262132 AMR262132 AWN262132 BGJ262132 BQF262132 CAB262132 CJX262132 CTT262132 DDP262132 DNL262132 DXH262132 EHD262132 EQZ262132 FAV262132 FKR262132 FUN262132 GEJ262132 GOF262132 GYB262132 HHX262132 HRT262132 IBP262132 ILL262132 IVH262132 JFD262132 JOZ262132 JYV262132 KIR262132 KSN262132 LCJ262132 LMF262132 LWB262132 MFX262132 MPT262132 MZP262132 NJL262132 NTH262132 ODD262132 OMZ262132 OWV262132 PGR262132 PQN262132 QAJ262132 QKF262132 QUB262132 RDX262132 RNT262132 RXP262132 SHL262132 SRH262132 TBD262132 TKZ262132 TUV262132 UER262132 UON262132 UYJ262132 VIF262132 VSB262132 WBX262132 WLT262132 WVP262132 I327668 JD327668 SZ327668 ACV327668 AMR327668 AWN327668 BGJ327668 BQF327668 CAB327668 CJX327668 CTT327668 DDP327668 DNL327668 DXH327668 EHD327668 EQZ327668 FAV327668 FKR327668 FUN327668 GEJ327668 GOF327668 GYB327668 HHX327668 HRT327668 IBP327668 ILL327668 IVH327668 JFD327668 JOZ327668 JYV327668 KIR327668 KSN327668 LCJ327668 LMF327668 LWB327668 MFX327668 MPT327668 MZP327668 NJL327668 NTH327668 ODD327668 OMZ327668 OWV327668 PGR327668 PQN327668 QAJ327668 QKF327668 QUB327668 RDX327668 RNT327668 RXP327668 SHL327668 SRH327668 TBD327668 TKZ327668 TUV327668 UER327668 UON327668 UYJ327668 VIF327668 VSB327668 WBX327668 WLT327668 WVP327668 I393204 JD393204 SZ393204 ACV393204 AMR393204 AWN393204 BGJ393204 BQF393204 CAB393204 CJX393204 CTT393204 DDP393204 DNL393204 DXH393204 EHD393204 EQZ393204 FAV393204 FKR393204 FUN393204 GEJ393204 GOF393204 GYB393204 HHX393204 HRT393204 IBP393204 ILL393204 IVH393204 JFD393204 JOZ393204 JYV393204 KIR393204 KSN393204 LCJ393204 LMF393204 LWB393204 MFX393204 MPT393204 MZP393204 NJL393204 NTH393204 ODD393204 OMZ393204 OWV393204 PGR393204 PQN393204 QAJ393204 QKF393204 QUB393204 RDX393204 RNT393204 RXP393204 SHL393204 SRH393204 TBD393204 TKZ393204 TUV393204 UER393204 UON393204 UYJ393204 VIF393204 VSB393204 WBX393204 WLT393204 WVP393204 I458740 JD458740 SZ458740 ACV458740 AMR458740 AWN458740 BGJ458740 BQF458740 CAB458740 CJX458740 CTT458740 DDP458740 DNL458740 DXH458740 EHD458740 EQZ458740 FAV458740 FKR458740 FUN458740 GEJ458740 GOF458740 GYB458740 HHX458740 HRT458740 IBP458740 ILL458740 IVH458740 JFD458740 JOZ458740 JYV458740 KIR458740 KSN458740 LCJ458740 LMF458740 LWB458740 MFX458740 MPT458740 MZP458740 NJL458740 NTH458740 ODD458740 OMZ458740 OWV458740 PGR458740 PQN458740 QAJ458740 QKF458740 QUB458740 RDX458740 RNT458740 RXP458740 SHL458740 SRH458740 TBD458740 TKZ458740 TUV458740 UER458740 UON458740 UYJ458740 VIF458740 VSB458740 WBX458740 WLT458740 WVP458740 I524276 JD524276 SZ524276 ACV524276 AMR524276 AWN524276 BGJ524276 BQF524276 CAB524276 CJX524276 CTT524276 DDP524276 DNL524276 DXH524276 EHD524276 EQZ524276 FAV524276 FKR524276 FUN524276 GEJ524276 GOF524276 GYB524276 HHX524276 HRT524276 IBP524276 ILL524276 IVH524276 JFD524276 JOZ524276 JYV524276 KIR524276 KSN524276 LCJ524276 LMF524276 LWB524276 MFX524276 MPT524276 MZP524276 NJL524276 NTH524276 ODD524276 OMZ524276 OWV524276 PGR524276 PQN524276 QAJ524276 QKF524276 QUB524276 RDX524276 RNT524276 RXP524276 SHL524276 SRH524276 TBD524276 TKZ524276 TUV524276 UER524276 UON524276 UYJ524276 VIF524276 VSB524276 WBX524276 WLT524276 WVP524276 I589812 JD589812 SZ589812 ACV589812 AMR589812 AWN589812 BGJ589812 BQF589812 CAB589812 CJX589812 CTT589812 DDP589812 DNL589812 DXH589812 EHD589812 EQZ589812 FAV589812 FKR589812 FUN589812 GEJ589812 GOF589812 GYB589812 HHX589812 HRT589812 IBP589812 ILL589812 IVH589812 JFD589812 JOZ589812 JYV589812 KIR589812 KSN589812 LCJ589812 LMF589812 LWB589812 MFX589812 MPT589812 MZP589812 NJL589812 NTH589812 ODD589812 OMZ589812 OWV589812 PGR589812 PQN589812 QAJ589812 QKF589812 QUB589812 RDX589812 RNT589812 RXP589812 SHL589812 SRH589812 TBD589812 TKZ589812 TUV589812 UER589812 UON589812 UYJ589812 VIF589812 VSB589812 WBX589812 WLT589812 WVP589812 I655348 JD655348 SZ655348 ACV655348 AMR655348 AWN655348 BGJ655348 BQF655348 CAB655348 CJX655348 CTT655348 DDP655348 DNL655348 DXH655348 EHD655348 EQZ655348 FAV655348 FKR655348 FUN655348 GEJ655348 GOF655348 GYB655348 HHX655348 HRT655348 IBP655348 ILL655348 IVH655348 JFD655348 JOZ655348 JYV655348 KIR655348 KSN655348 LCJ655348 LMF655348 LWB655348 MFX655348 MPT655348 MZP655348 NJL655348 NTH655348 ODD655348 OMZ655348 OWV655348 PGR655348 PQN655348 QAJ655348 QKF655348 QUB655348 RDX655348 RNT655348 RXP655348 SHL655348 SRH655348 TBD655348 TKZ655348 TUV655348 UER655348 UON655348 UYJ655348 VIF655348 VSB655348 WBX655348 WLT655348 WVP655348 I720884 JD720884 SZ720884 ACV720884 AMR720884 AWN720884 BGJ720884 BQF720884 CAB720884 CJX720884 CTT720884 DDP720884 DNL720884 DXH720884 EHD720884 EQZ720884 FAV720884 FKR720884 FUN720884 GEJ720884 GOF720884 GYB720884 HHX720884 HRT720884 IBP720884 ILL720884 IVH720884 JFD720884 JOZ720884 JYV720884 KIR720884 KSN720884 LCJ720884 LMF720884 LWB720884 MFX720884 MPT720884 MZP720884 NJL720884 NTH720884 ODD720884 OMZ720884 OWV720884 PGR720884 PQN720884 QAJ720884 QKF720884 QUB720884 RDX720884 RNT720884 RXP720884 SHL720884 SRH720884 TBD720884 TKZ720884 TUV720884 UER720884 UON720884 UYJ720884 VIF720884 VSB720884 WBX720884 WLT720884 WVP720884 I786420 JD786420 SZ786420 ACV786420 AMR786420 AWN786420 BGJ786420 BQF786420 CAB786420 CJX786420 CTT786420 DDP786420 DNL786420 DXH786420 EHD786420 EQZ786420 FAV786420 FKR786420 FUN786420 GEJ786420 GOF786420 GYB786420 HHX786420 HRT786420 IBP786420 ILL786420 IVH786420 JFD786420 JOZ786420 JYV786420 KIR786420 KSN786420 LCJ786420 LMF786420 LWB786420 MFX786420 MPT786420 MZP786420 NJL786420 NTH786420 ODD786420 OMZ786420 OWV786420 PGR786420 PQN786420 QAJ786420 QKF786420 QUB786420 RDX786420 RNT786420 RXP786420 SHL786420 SRH786420 TBD786420 TKZ786420 TUV786420 UER786420 UON786420 UYJ786420 VIF786420 VSB786420 WBX786420 WLT786420 WVP786420 I851956 JD851956 SZ851956 ACV851956 AMR851956 AWN851956 BGJ851956 BQF851956 CAB851956 CJX851956 CTT851956 DDP851956 DNL851956 DXH851956 EHD851956 EQZ851956 FAV851956 FKR851956 FUN851956 GEJ851956 GOF851956 GYB851956 HHX851956 HRT851956 IBP851956 ILL851956 IVH851956 JFD851956 JOZ851956 JYV851956 KIR851956 KSN851956 LCJ851956 LMF851956 LWB851956 MFX851956 MPT851956 MZP851956 NJL851956 NTH851956 ODD851956 OMZ851956 OWV851956 PGR851956 PQN851956 QAJ851956 QKF851956 QUB851956 RDX851956 RNT851956 RXP851956 SHL851956 SRH851956 TBD851956 TKZ851956 TUV851956 UER851956 UON851956 UYJ851956 VIF851956 VSB851956 WBX851956 WLT851956 WVP851956 I917492 JD917492 SZ917492 ACV917492 AMR917492 AWN917492 BGJ917492 BQF917492 CAB917492 CJX917492 CTT917492 DDP917492 DNL917492 DXH917492 EHD917492 EQZ917492 FAV917492 FKR917492 FUN917492 GEJ917492 GOF917492 GYB917492 HHX917492 HRT917492 IBP917492 ILL917492 IVH917492 JFD917492 JOZ917492 JYV917492 KIR917492 KSN917492 LCJ917492 LMF917492 LWB917492 MFX917492 MPT917492 MZP917492 NJL917492 NTH917492 ODD917492 OMZ917492 OWV917492 PGR917492 PQN917492 QAJ917492 QKF917492 QUB917492 RDX917492 RNT917492 RXP917492 SHL917492 SRH917492 TBD917492 TKZ917492 TUV917492 UER917492 UON917492 UYJ917492 VIF917492 VSB917492 WBX917492 WLT917492 WVP917492 I983028 JD983028 SZ983028 ACV983028 AMR983028 AWN983028 BGJ983028 BQF983028 CAB983028 CJX983028 CTT983028 DDP983028 DNL983028 DXH983028 EHD983028 EQZ983028 FAV983028 FKR983028 FUN983028 GEJ983028 GOF983028 GYB983028 HHX983028 HRT983028 IBP983028 ILL983028 IVH983028 JFD983028 JOZ983028 JYV983028 KIR983028 KSN983028 LCJ983028 LMF983028 LWB983028 MFX983028 MPT983028 MZP983028 NJL983028 NTH983028 ODD983028 OMZ983028 OWV983028 PGR983028 PQN983028 QAJ983028 QKF983028 QUB983028 RDX983028 RNT983028 RXP983028 SHL983028 SRH983028 TBD983028 TKZ983028 TUV983028 UER983028 UON983028 UYJ983028 VIF983028 VSB983028 WBX983028 WLT983028 WVP983028 I65503:I65514 JD65503:JD65514 SZ65503:SZ65514 ACV65503:ACV65514 AMR65503:AMR65514 AWN65503:AWN65514 BGJ65503:BGJ65514 BQF65503:BQF65514 CAB65503:CAB65514 CJX65503:CJX65514 CTT65503:CTT65514 DDP65503:DDP65514 DNL65503:DNL65514 DXH65503:DXH65514 EHD65503:EHD65514 EQZ65503:EQZ65514 FAV65503:FAV65514 FKR65503:FKR65514 FUN65503:FUN65514 GEJ65503:GEJ65514 GOF65503:GOF65514 GYB65503:GYB65514 HHX65503:HHX65514 HRT65503:HRT65514 IBP65503:IBP65514 ILL65503:ILL65514 IVH65503:IVH65514 JFD65503:JFD65514 JOZ65503:JOZ65514 JYV65503:JYV65514 KIR65503:KIR65514 KSN65503:KSN65514 LCJ65503:LCJ65514 LMF65503:LMF65514 LWB65503:LWB65514 MFX65503:MFX65514 MPT65503:MPT65514 MZP65503:MZP65514 NJL65503:NJL65514 NTH65503:NTH65514 ODD65503:ODD65514 OMZ65503:OMZ65514 OWV65503:OWV65514 PGR65503:PGR65514 PQN65503:PQN65514 QAJ65503:QAJ65514 QKF65503:QKF65514 QUB65503:QUB65514 RDX65503:RDX65514 RNT65503:RNT65514 RXP65503:RXP65514 SHL65503:SHL65514 SRH65503:SRH65514 TBD65503:TBD65514 TKZ65503:TKZ65514 TUV65503:TUV65514 UER65503:UER65514 UON65503:UON65514 UYJ65503:UYJ65514 VIF65503:VIF65514 VSB65503:VSB65514 WBX65503:WBX65514 WLT65503:WLT65514 WVP65503:WVP65514 I131039:I131050 JD131039:JD131050 SZ131039:SZ131050 ACV131039:ACV131050 AMR131039:AMR131050 AWN131039:AWN131050 BGJ131039:BGJ131050 BQF131039:BQF131050 CAB131039:CAB131050 CJX131039:CJX131050 CTT131039:CTT131050 DDP131039:DDP131050 DNL131039:DNL131050 DXH131039:DXH131050 EHD131039:EHD131050 EQZ131039:EQZ131050 FAV131039:FAV131050 FKR131039:FKR131050 FUN131039:FUN131050 GEJ131039:GEJ131050 GOF131039:GOF131050 GYB131039:GYB131050 HHX131039:HHX131050 HRT131039:HRT131050 IBP131039:IBP131050 ILL131039:ILL131050 IVH131039:IVH131050 JFD131039:JFD131050 JOZ131039:JOZ131050 JYV131039:JYV131050 KIR131039:KIR131050 KSN131039:KSN131050 LCJ131039:LCJ131050 LMF131039:LMF131050 LWB131039:LWB131050 MFX131039:MFX131050 MPT131039:MPT131050 MZP131039:MZP131050 NJL131039:NJL131050 NTH131039:NTH131050 ODD131039:ODD131050 OMZ131039:OMZ131050 OWV131039:OWV131050 PGR131039:PGR131050 PQN131039:PQN131050 QAJ131039:QAJ131050 QKF131039:QKF131050 QUB131039:QUB131050 RDX131039:RDX131050 RNT131039:RNT131050 RXP131039:RXP131050 SHL131039:SHL131050 SRH131039:SRH131050 TBD131039:TBD131050 TKZ131039:TKZ131050 TUV131039:TUV131050 UER131039:UER131050 UON131039:UON131050 UYJ131039:UYJ131050 VIF131039:VIF131050 VSB131039:VSB131050 WBX131039:WBX131050 WLT131039:WLT131050 WVP131039:WVP131050 I196575:I196586 JD196575:JD196586 SZ196575:SZ196586 ACV196575:ACV196586 AMR196575:AMR196586 AWN196575:AWN196586 BGJ196575:BGJ196586 BQF196575:BQF196586 CAB196575:CAB196586 CJX196575:CJX196586 CTT196575:CTT196586 DDP196575:DDP196586 DNL196575:DNL196586 DXH196575:DXH196586 EHD196575:EHD196586 EQZ196575:EQZ196586 FAV196575:FAV196586 FKR196575:FKR196586 FUN196575:FUN196586 GEJ196575:GEJ196586 GOF196575:GOF196586 GYB196575:GYB196586 HHX196575:HHX196586 HRT196575:HRT196586 IBP196575:IBP196586 ILL196575:ILL196586 IVH196575:IVH196586 JFD196575:JFD196586 JOZ196575:JOZ196586 JYV196575:JYV196586 KIR196575:KIR196586 KSN196575:KSN196586 LCJ196575:LCJ196586 LMF196575:LMF196586 LWB196575:LWB196586 MFX196575:MFX196586 MPT196575:MPT196586 MZP196575:MZP196586 NJL196575:NJL196586 NTH196575:NTH196586 ODD196575:ODD196586 OMZ196575:OMZ196586 OWV196575:OWV196586 PGR196575:PGR196586 PQN196575:PQN196586 QAJ196575:QAJ196586 QKF196575:QKF196586 QUB196575:QUB196586 RDX196575:RDX196586 RNT196575:RNT196586 RXP196575:RXP196586 SHL196575:SHL196586 SRH196575:SRH196586 TBD196575:TBD196586 TKZ196575:TKZ196586 TUV196575:TUV196586 UER196575:UER196586 UON196575:UON196586 UYJ196575:UYJ196586 VIF196575:VIF196586 VSB196575:VSB196586 WBX196575:WBX196586 WLT196575:WLT196586 WVP196575:WVP196586 I262111:I262122 JD262111:JD262122 SZ262111:SZ262122 ACV262111:ACV262122 AMR262111:AMR262122 AWN262111:AWN262122 BGJ262111:BGJ262122 BQF262111:BQF262122 CAB262111:CAB262122 CJX262111:CJX262122 CTT262111:CTT262122 DDP262111:DDP262122 DNL262111:DNL262122 DXH262111:DXH262122 EHD262111:EHD262122 EQZ262111:EQZ262122 FAV262111:FAV262122 FKR262111:FKR262122 FUN262111:FUN262122 GEJ262111:GEJ262122 GOF262111:GOF262122 GYB262111:GYB262122 HHX262111:HHX262122 HRT262111:HRT262122 IBP262111:IBP262122 ILL262111:ILL262122 IVH262111:IVH262122 JFD262111:JFD262122 JOZ262111:JOZ262122 JYV262111:JYV262122 KIR262111:KIR262122 KSN262111:KSN262122 LCJ262111:LCJ262122 LMF262111:LMF262122 LWB262111:LWB262122 MFX262111:MFX262122 MPT262111:MPT262122 MZP262111:MZP262122 NJL262111:NJL262122 NTH262111:NTH262122 ODD262111:ODD262122 OMZ262111:OMZ262122 OWV262111:OWV262122 PGR262111:PGR262122 PQN262111:PQN262122 QAJ262111:QAJ262122 QKF262111:QKF262122 QUB262111:QUB262122 RDX262111:RDX262122 RNT262111:RNT262122 RXP262111:RXP262122 SHL262111:SHL262122 SRH262111:SRH262122 TBD262111:TBD262122 TKZ262111:TKZ262122 TUV262111:TUV262122 UER262111:UER262122 UON262111:UON262122 UYJ262111:UYJ262122 VIF262111:VIF262122 VSB262111:VSB262122 WBX262111:WBX262122 WLT262111:WLT262122 WVP262111:WVP262122 I327647:I327658 JD327647:JD327658 SZ327647:SZ327658 ACV327647:ACV327658 AMR327647:AMR327658 AWN327647:AWN327658 BGJ327647:BGJ327658 BQF327647:BQF327658 CAB327647:CAB327658 CJX327647:CJX327658 CTT327647:CTT327658 DDP327647:DDP327658 DNL327647:DNL327658 DXH327647:DXH327658 EHD327647:EHD327658 EQZ327647:EQZ327658 FAV327647:FAV327658 FKR327647:FKR327658 FUN327647:FUN327658 GEJ327647:GEJ327658 GOF327647:GOF327658 GYB327647:GYB327658 HHX327647:HHX327658 HRT327647:HRT327658 IBP327647:IBP327658 ILL327647:ILL327658 IVH327647:IVH327658 JFD327647:JFD327658 JOZ327647:JOZ327658 JYV327647:JYV327658 KIR327647:KIR327658 KSN327647:KSN327658 LCJ327647:LCJ327658 LMF327647:LMF327658 LWB327647:LWB327658 MFX327647:MFX327658 MPT327647:MPT327658 MZP327647:MZP327658 NJL327647:NJL327658 NTH327647:NTH327658 ODD327647:ODD327658 OMZ327647:OMZ327658 OWV327647:OWV327658 PGR327647:PGR327658 PQN327647:PQN327658 QAJ327647:QAJ327658 QKF327647:QKF327658 QUB327647:QUB327658 RDX327647:RDX327658 RNT327647:RNT327658 RXP327647:RXP327658 SHL327647:SHL327658 SRH327647:SRH327658 TBD327647:TBD327658 TKZ327647:TKZ327658 TUV327647:TUV327658 UER327647:UER327658 UON327647:UON327658 UYJ327647:UYJ327658 VIF327647:VIF327658 VSB327647:VSB327658 WBX327647:WBX327658 WLT327647:WLT327658 WVP327647:WVP327658 I393183:I393194 JD393183:JD393194 SZ393183:SZ393194 ACV393183:ACV393194 AMR393183:AMR393194 AWN393183:AWN393194 BGJ393183:BGJ393194 BQF393183:BQF393194 CAB393183:CAB393194 CJX393183:CJX393194 CTT393183:CTT393194 DDP393183:DDP393194 DNL393183:DNL393194 DXH393183:DXH393194 EHD393183:EHD393194 EQZ393183:EQZ393194 FAV393183:FAV393194 FKR393183:FKR393194 FUN393183:FUN393194 GEJ393183:GEJ393194 GOF393183:GOF393194 GYB393183:GYB393194 HHX393183:HHX393194 HRT393183:HRT393194 IBP393183:IBP393194 ILL393183:ILL393194 IVH393183:IVH393194 JFD393183:JFD393194 JOZ393183:JOZ393194 JYV393183:JYV393194 KIR393183:KIR393194 KSN393183:KSN393194 LCJ393183:LCJ393194 LMF393183:LMF393194 LWB393183:LWB393194 MFX393183:MFX393194 MPT393183:MPT393194 MZP393183:MZP393194 NJL393183:NJL393194 NTH393183:NTH393194 ODD393183:ODD393194 OMZ393183:OMZ393194 OWV393183:OWV393194 PGR393183:PGR393194 PQN393183:PQN393194 QAJ393183:QAJ393194 QKF393183:QKF393194 QUB393183:QUB393194 RDX393183:RDX393194 RNT393183:RNT393194 RXP393183:RXP393194 SHL393183:SHL393194 SRH393183:SRH393194 TBD393183:TBD393194 TKZ393183:TKZ393194 TUV393183:TUV393194 UER393183:UER393194 UON393183:UON393194 UYJ393183:UYJ393194 VIF393183:VIF393194 VSB393183:VSB393194 WBX393183:WBX393194 WLT393183:WLT393194 WVP393183:WVP393194 I458719:I458730 JD458719:JD458730 SZ458719:SZ458730 ACV458719:ACV458730 AMR458719:AMR458730 AWN458719:AWN458730 BGJ458719:BGJ458730 BQF458719:BQF458730 CAB458719:CAB458730 CJX458719:CJX458730 CTT458719:CTT458730 DDP458719:DDP458730 DNL458719:DNL458730 DXH458719:DXH458730 EHD458719:EHD458730 EQZ458719:EQZ458730 FAV458719:FAV458730 FKR458719:FKR458730 FUN458719:FUN458730 GEJ458719:GEJ458730 GOF458719:GOF458730 GYB458719:GYB458730 HHX458719:HHX458730 HRT458719:HRT458730 IBP458719:IBP458730 ILL458719:ILL458730 IVH458719:IVH458730 JFD458719:JFD458730 JOZ458719:JOZ458730 JYV458719:JYV458730 KIR458719:KIR458730 KSN458719:KSN458730 LCJ458719:LCJ458730 LMF458719:LMF458730 LWB458719:LWB458730 MFX458719:MFX458730 MPT458719:MPT458730 MZP458719:MZP458730 NJL458719:NJL458730 NTH458719:NTH458730 ODD458719:ODD458730 OMZ458719:OMZ458730 OWV458719:OWV458730 PGR458719:PGR458730 PQN458719:PQN458730 QAJ458719:QAJ458730 QKF458719:QKF458730 QUB458719:QUB458730 RDX458719:RDX458730 RNT458719:RNT458730 RXP458719:RXP458730 SHL458719:SHL458730 SRH458719:SRH458730 TBD458719:TBD458730 TKZ458719:TKZ458730 TUV458719:TUV458730 UER458719:UER458730 UON458719:UON458730 UYJ458719:UYJ458730 VIF458719:VIF458730 VSB458719:VSB458730 WBX458719:WBX458730 WLT458719:WLT458730 WVP458719:WVP458730 I524255:I524266 JD524255:JD524266 SZ524255:SZ524266 ACV524255:ACV524266 AMR524255:AMR524266 AWN524255:AWN524266 BGJ524255:BGJ524266 BQF524255:BQF524266 CAB524255:CAB524266 CJX524255:CJX524266 CTT524255:CTT524266 DDP524255:DDP524266 DNL524255:DNL524266 DXH524255:DXH524266 EHD524255:EHD524266 EQZ524255:EQZ524266 FAV524255:FAV524266 FKR524255:FKR524266 FUN524255:FUN524266 GEJ524255:GEJ524266 GOF524255:GOF524266 GYB524255:GYB524266 HHX524255:HHX524266 HRT524255:HRT524266 IBP524255:IBP524266 ILL524255:ILL524266 IVH524255:IVH524266 JFD524255:JFD524266 JOZ524255:JOZ524266 JYV524255:JYV524266 KIR524255:KIR524266 KSN524255:KSN524266 LCJ524255:LCJ524266 LMF524255:LMF524266 LWB524255:LWB524266 MFX524255:MFX524266 MPT524255:MPT524266 MZP524255:MZP524266 NJL524255:NJL524266 NTH524255:NTH524266 ODD524255:ODD524266 OMZ524255:OMZ524266 OWV524255:OWV524266 PGR524255:PGR524266 PQN524255:PQN524266 QAJ524255:QAJ524266 QKF524255:QKF524266 QUB524255:QUB524266 RDX524255:RDX524266 RNT524255:RNT524266 RXP524255:RXP524266 SHL524255:SHL524266 SRH524255:SRH524266 TBD524255:TBD524266 TKZ524255:TKZ524266 TUV524255:TUV524266 UER524255:UER524266 UON524255:UON524266 UYJ524255:UYJ524266 VIF524255:VIF524266 VSB524255:VSB524266 WBX524255:WBX524266 WLT524255:WLT524266 WVP524255:WVP524266 I589791:I589802 JD589791:JD589802 SZ589791:SZ589802 ACV589791:ACV589802 AMR589791:AMR589802 AWN589791:AWN589802 BGJ589791:BGJ589802 BQF589791:BQF589802 CAB589791:CAB589802 CJX589791:CJX589802 CTT589791:CTT589802 DDP589791:DDP589802 DNL589791:DNL589802 DXH589791:DXH589802 EHD589791:EHD589802 EQZ589791:EQZ589802 FAV589791:FAV589802 FKR589791:FKR589802 FUN589791:FUN589802 GEJ589791:GEJ589802 GOF589791:GOF589802 GYB589791:GYB589802 HHX589791:HHX589802 HRT589791:HRT589802 IBP589791:IBP589802 ILL589791:ILL589802 IVH589791:IVH589802 JFD589791:JFD589802 JOZ589791:JOZ589802 JYV589791:JYV589802 KIR589791:KIR589802 KSN589791:KSN589802 LCJ589791:LCJ589802 LMF589791:LMF589802 LWB589791:LWB589802 MFX589791:MFX589802 MPT589791:MPT589802 MZP589791:MZP589802 NJL589791:NJL589802 NTH589791:NTH589802 ODD589791:ODD589802 OMZ589791:OMZ589802 OWV589791:OWV589802 PGR589791:PGR589802 PQN589791:PQN589802 QAJ589791:QAJ589802 QKF589791:QKF589802 QUB589791:QUB589802 RDX589791:RDX589802 RNT589791:RNT589802 RXP589791:RXP589802 SHL589791:SHL589802 SRH589791:SRH589802 TBD589791:TBD589802 TKZ589791:TKZ589802 TUV589791:TUV589802 UER589791:UER589802 UON589791:UON589802 UYJ589791:UYJ589802 VIF589791:VIF589802 VSB589791:VSB589802 WBX589791:WBX589802 WLT589791:WLT589802 WVP589791:WVP589802 I655327:I655338 JD655327:JD655338 SZ655327:SZ655338 ACV655327:ACV655338 AMR655327:AMR655338 AWN655327:AWN655338 BGJ655327:BGJ655338 BQF655327:BQF655338 CAB655327:CAB655338 CJX655327:CJX655338 CTT655327:CTT655338 DDP655327:DDP655338 DNL655327:DNL655338 DXH655327:DXH655338 EHD655327:EHD655338 EQZ655327:EQZ655338 FAV655327:FAV655338 FKR655327:FKR655338 FUN655327:FUN655338 GEJ655327:GEJ655338 GOF655327:GOF655338 GYB655327:GYB655338 HHX655327:HHX655338 HRT655327:HRT655338 IBP655327:IBP655338 ILL655327:ILL655338 IVH655327:IVH655338 JFD655327:JFD655338 JOZ655327:JOZ655338 JYV655327:JYV655338 KIR655327:KIR655338 KSN655327:KSN655338 LCJ655327:LCJ655338 LMF655327:LMF655338 LWB655327:LWB655338 MFX655327:MFX655338 MPT655327:MPT655338 MZP655327:MZP655338 NJL655327:NJL655338 NTH655327:NTH655338 ODD655327:ODD655338 OMZ655327:OMZ655338 OWV655327:OWV655338 PGR655327:PGR655338 PQN655327:PQN655338 QAJ655327:QAJ655338 QKF655327:QKF655338 QUB655327:QUB655338 RDX655327:RDX655338 RNT655327:RNT655338 RXP655327:RXP655338 SHL655327:SHL655338 SRH655327:SRH655338 TBD655327:TBD655338 TKZ655327:TKZ655338 TUV655327:TUV655338 UER655327:UER655338 UON655327:UON655338 UYJ655327:UYJ655338 VIF655327:VIF655338 VSB655327:VSB655338 WBX655327:WBX655338 WLT655327:WLT655338 WVP655327:WVP655338 I720863:I720874 JD720863:JD720874 SZ720863:SZ720874 ACV720863:ACV720874 AMR720863:AMR720874 AWN720863:AWN720874 BGJ720863:BGJ720874 BQF720863:BQF720874 CAB720863:CAB720874 CJX720863:CJX720874 CTT720863:CTT720874 DDP720863:DDP720874 DNL720863:DNL720874 DXH720863:DXH720874 EHD720863:EHD720874 EQZ720863:EQZ720874 FAV720863:FAV720874 FKR720863:FKR720874 FUN720863:FUN720874 GEJ720863:GEJ720874 GOF720863:GOF720874 GYB720863:GYB720874 HHX720863:HHX720874 HRT720863:HRT720874 IBP720863:IBP720874 ILL720863:ILL720874 IVH720863:IVH720874 JFD720863:JFD720874 JOZ720863:JOZ720874 JYV720863:JYV720874 KIR720863:KIR720874 KSN720863:KSN720874 LCJ720863:LCJ720874 LMF720863:LMF720874 LWB720863:LWB720874 MFX720863:MFX720874 MPT720863:MPT720874 MZP720863:MZP720874 NJL720863:NJL720874 NTH720863:NTH720874 ODD720863:ODD720874 OMZ720863:OMZ720874 OWV720863:OWV720874 PGR720863:PGR720874 PQN720863:PQN720874 QAJ720863:QAJ720874 QKF720863:QKF720874 QUB720863:QUB720874 RDX720863:RDX720874 RNT720863:RNT720874 RXP720863:RXP720874 SHL720863:SHL720874 SRH720863:SRH720874 TBD720863:TBD720874 TKZ720863:TKZ720874 TUV720863:TUV720874 UER720863:UER720874 UON720863:UON720874 UYJ720863:UYJ720874 VIF720863:VIF720874 VSB720863:VSB720874 WBX720863:WBX720874 WLT720863:WLT720874 WVP720863:WVP720874 I786399:I786410 JD786399:JD786410 SZ786399:SZ786410 ACV786399:ACV786410 AMR786399:AMR786410 AWN786399:AWN786410 BGJ786399:BGJ786410 BQF786399:BQF786410 CAB786399:CAB786410 CJX786399:CJX786410 CTT786399:CTT786410 DDP786399:DDP786410 DNL786399:DNL786410 DXH786399:DXH786410 EHD786399:EHD786410 EQZ786399:EQZ786410 FAV786399:FAV786410 FKR786399:FKR786410 FUN786399:FUN786410 GEJ786399:GEJ786410 GOF786399:GOF786410 GYB786399:GYB786410 HHX786399:HHX786410 HRT786399:HRT786410 IBP786399:IBP786410 ILL786399:ILL786410 IVH786399:IVH786410 JFD786399:JFD786410 JOZ786399:JOZ786410 JYV786399:JYV786410 KIR786399:KIR786410 KSN786399:KSN786410 LCJ786399:LCJ786410 LMF786399:LMF786410 LWB786399:LWB786410 MFX786399:MFX786410 MPT786399:MPT786410 MZP786399:MZP786410 NJL786399:NJL786410 NTH786399:NTH786410 ODD786399:ODD786410 OMZ786399:OMZ786410 OWV786399:OWV786410 PGR786399:PGR786410 PQN786399:PQN786410 QAJ786399:QAJ786410 QKF786399:QKF786410 QUB786399:QUB786410 RDX786399:RDX786410 RNT786399:RNT786410 RXP786399:RXP786410 SHL786399:SHL786410 SRH786399:SRH786410 TBD786399:TBD786410 TKZ786399:TKZ786410 TUV786399:TUV786410 UER786399:UER786410 UON786399:UON786410 UYJ786399:UYJ786410 VIF786399:VIF786410 VSB786399:VSB786410 WBX786399:WBX786410 WLT786399:WLT786410 WVP786399:WVP786410 I851935:I851946 JD851935:JD851946 SZ851935:SZ851946 ACV851935:ACV851946 AMR851935:AMR851946 AWN851935:AWN851946 BGJ851935:BGJ851946 BQF851935:BQF851946 CAB851935:CAB851946 CJX851935:CJX851946 CTT851935:CTT851946 DDP851935:DDP851946 DNL851935:DNL851946 DXH851935:DXH851946 EHD851935:EHD851946 EQZ851935:EQZ851946 FAV851935:FAV851946 FKR851935:FKR851946 FUN851935:FUN851946 GEJ851935:GEJ851946 GOF851935:GOF851946 GYB851935:GYB851946 HHX851935:HHX851946 HRT851935:HRT851946 IBP851935:IBP851946 ILL851935:ILL851946 IVH851935:IVH851946 JFD851935:JFD851946 JOZ851935:JOZ851946 JYV851935:JYV851946 KIR851935:KIR851946 KSN851935:KSN851946 LCJ851935:LCJ851946 LMF851935:LMF851946 LWB851935:LWB851946 MFX851935:MFX851946 MPT851935:MPT851946 MZP851935:MZP851946 NJL851935:NJL851946 NTH851935:NTH851946 ODD851935:ODD851946 OMZ851935:OMZ851946 OWV851935:OWV851946 PGR851935:PGR851946 PQN851935:PQN851946 QAJ851935:QAJ851946 QKF851935:QKF851946 QUB851935:QUB851946 RDX851935:RDX851946 RNT851935:RNT851946 RXP851935:RXP851946 SHL851935:SHL851946 SRH851935:SRH851946 TBD851935:TBD851946 TKZ851935:TKZ851946 TUV851935:TUV851946 UER851935:UER851946 UON851935:UON851946 UYJ851935:UYJ851946 VIF851935:VIF851946 VSB851935:VSB851946 WBX851935:WBX851946 WLT851935:WLT851946 WVP851935:WVP851946 I917471:I917482 JD917471:JD917482 SZ917471:SZ917482 ACV917471:ACV917482 AMR917471:AMR917482 AWN917471:AWN917482 BGJ917471:BGJ917482 BQF917471:BQF917482 CAB917471:CAB917482 CJX917471:CJX917482 CTT917471:CTT917482 DDP917471:DDP917482 DNL917471:DNL917482 DXH917471:DXH917482 EHD917471:EHD917482 EQZ917471:EQZ917482 FAV917471:FAV917482 FKR917471:FKR917482 FUN917471:FUN917482 GEJ917471:GEJ917482 GOF917471:GOF917482 GYB917471:GYB917482 HHX917471:HHX917482 HRT917471:HRT917482 IBP917471:IBP917482 ILL917471:ILL917482 IVH917471:IVH917482 JFD917471:JFD917482 JOZ917471:JOZ917482 JYV917471:JYV917482 KIR917471:KIR917482 KSN917471:KSN917482 LCJ917471:LCJ917482 LMF917471:LMF917482 LWB917471:LWB917482 MFX917471:MFX917482 MPT917471:MPT917482 MZP917471:MZP917482 NJL917471:NJL917482 NTH917471:NTH917482 ODD917471:ODD917482 OMZ917471:OMZ917482 OWV917471:OWV917482 PGR917471:PGR917482 PQN917471:PQN917482 QAJ917471:QAJ917482 QKF917471:QKF917482 QUB917471:QUB917482 RDX917471:RDX917482 RNT917471:RNT917482 RXP917471:RXP917482 SHL917471:SHL917482 SRH917471:SRH917482 TBD917471:TBD917482 TKZ917471:TKZ917482 TUV917471:TUV917482 UER917471:UER917482 UON917471:UON917482 UYJ917471:UYJ917482 VIF917471:VIF917482 VSB917471:VSB917482 WBX917471:WBX917482 WLT917471:WLT917482 WVP917471:WVP917482 I983007:I983018 JD983007:JD983018 SZ983007:SZ983018 ACV983007:ACV983018 AMR983007:AMR983018 AWN983007:AWN983018 BGJ983007:BGJ983018 BQF983007:BQF983018 CAB983007:CAB983018 CJX983007:CJX983018 CTT983007:CTT983018 DDP983007:DDP983018 DNL983007:DNL983018 DXH983007:DXH983018 EHD983007:EHD983018 EQZ983007:EQZ983018 FAV983007:FAV983018 FKR983007:FKR983018 FUN983007:FUN983018 GEJ983007:GEJ983018 GOF983007:GOF983018 GYB983007:GYB983018 HHX983007:HHX983018 HRT983007:HRT983018 IBP983007:IBP983018 ILL983007:ILL983018 IVH983007:IVH983018 JFD983007:JFD983018 JOZ983007:JOZ983018 JYV983007:JYV983018 KIR983007:KIR983018 KSN983007:KSN983018 LCJ983007:LCJ983018 LMF983007:LMF983018 LWB983007:LWB983018 MFX983007:MFX983018 MPT983007:MPT983018 MZP983007:MZP983018 NJL983007:NJL983018 NTH983007:NTH983018 ODD983007:ODD983018 OMZ983007:OMZ983018 OWV983007:OWV983018 PGR983007:PGR983018 PQN983007:PQN983018 QAJ983007:QAJ983018 QKF983007:QKF983018 QUB983007:QUB983018 RDX983007:RDX983018 RNT983007:RNT983018 RXP983007:RXP983018 SHL983007:SHL983018 SRH983007:SRH983018 TBD983007:TBD983018 TKZ983007:TKZ983018 TUV983007:TUV983018 UER983007:UER983018 UON983007:UON983018 UYJ983007:UYJ983018 VIF983007:VIF983018 VSB983007:VSB983018 WBX983007:WBX983018 WLT983007:WLT983018 WVP983007:WVP983018 S65524:T65524 JN65524:JO65524 TJ65524:TK65524 ADF65524:ADG65524 ANB65524:ANC65524 AWX65524:AWY65524 BGT65524:BGU65524 BQP65524:BQQ65524 CAL65524:CAM65524 CKH65524:CKI65524 CUD65524:CUE65524 DDZ65524:DEA65524 DNV65524:DNW65524 DXR65524:DXS65524 EHN65524:EHO65524 ERJ65524:ERK65524 FBF65524:FBG65524 FLB65524:FLC65524 FUX65524:FUY65524 GET65524:GEU65524 GOP65524:GOQ65524 GYL65524:GYM65524 HIH65524:HII65524 HSD65524:HSE65524 IBZ65524:ICA65524 ILV65524:ILW65524 IVR65524:IVS65524 JFN65524:JFO65524 JPJ65524:JPK65524 JZF65524:JZG65524 KJB65524:KJC65524 KSX65524:KSY65524 LCT65524:LCU65524 LMP65524:LMQ65524 LWL65524:LWM65524 MGH65524:MGI65524 MQD65524:MQE65524 MZZ65524:NAA65524 NJV65524:NJW65524 NTR65524:NTS65524 ODN65524:ODO65524 ONJ65524:ONK65524 OXF65524:OXG65524 PHB65524:PHC65524 PQX65524:PQY65524 QAT65524:QAU65524 QKP65524:QKQ65524 QUL65524:QUM65524 REH65524:REI65524 ROD65524:ROE65524 RXZ65524:RYA65524 SHV65524:SHW65524 SRR65524:SRS65524 TBN65524:TBO65524 TLJ65524:TLK65524 TVF65524:TVG65524 UFB65524:UFC65524 UOX65524:UOY65524 UYT65524:UYU65524 VIP65524:VIQ65524 VSL65524:VSM65524 WCH65524:WCI65524 WMD65524:WME65524 WVZ65524:WWA65524 S131060:T131060 JN131060:JO131060 TJ131060:TK131060 ADF131060:ADG131060 ANB131060:ANC131060 AWX131060:AWY131060 BGT131060:BGU131060 BQP131060:BQQ131060 CAL131060:CAM131060 CKH131060:CKI131060 CUD131060:CUE131060 DDZ131060:DEA131060 DNV131060:DNW131060 DXR131060:DXS131060 EHN131060:EHO131060 ERJ131060:ERK131060 FBF131060:FBG131060 FLB131060:FLC131060 FUX131060:FUY131060 GET131060:GEU131060 GOP131060:GOQ131060 GYL131060:GYM131060 HIH131060:HII131060 HSD131060:HSE131060 IBZ131060:ICA131060 ILV131060:ILW131060 IVR131060:IVS131060 JFN131060:JFO131060 JPJ131060:JPK131060 JZF131060:JZG131060 KJB131060:KJC131060 KSX131060:KSY131060 LCT131060:LCU131060 LMP131060:LMQ131060 LWL131060:LWM131060 MGH131060:MGI131060 MQD131060:MQE131060 MZZ131060:NAA131060 NJV131060:NJW131060 NTR131060:NTS131060 ODN131060:ODO131060 ONJ131060:ONK131060 OXF131060:OXG131060 PHB131060:PHC131060 PQX131060:PQY131060 QAT131060:QAU131060 QKP131060:QKQ131060 QUL131060:QUM131060 REH131060:REI131060 ROD131060:ROE131060 RXZ131060:RYA131060 SHV131060:SHW131060 SRR131060:SRS131060 TBN131060:TBO131060 TLJ131060:TLK131060 TVF131060:TVG131060 UFB131060:UFC131060 UOX131060:UOY131060 UYT131060:UYU131060 VIP131060:VIQ131060 VSL131060:VSM131060 WCH131060:WCI131060 WMD131060:WME131060 WVZ131060:WWA131060 S196596:T196596 JN196596:JO196596 TJ196596:TK196596 ADF196596:ADG196596 ANB196596:ANC196596 AWX196596:AWY196596 BGT196596:BGU196596 BQP196596:BQQ196596 CAL196596:CAM196596 CKH196596:CKI196596 CUD196596:CUE196596 DDZ196596:DEA196596 DNV196596:DNW196596 DXR196596:DXS196596 EHN196596:EHO196596 ERJ196596:ERK196596 FBF196596:FBG196596 FLB196596:FLC196596 FUX196596:FUY196596 GET196596:GEU196596 GOP196596:GOQ196596 GYL196596:GYM196596 HIH196596:HII196596 HSD196596:HSE196596 IBZ196596:ICA196596 ILV196596:ILW196596 IVR196596:IVS196596 JFN196596:JFO196596 JPJ196596:JPK196596 JZF196596:JZG196596 KJB196596:KJC196596 KSX196596:KSY196596 LCT196596:LCU196596 LMP196596:LMQ196596 LWL196596:LWM196596 MGH196596:MGI196596 MQD196596:MQE196596 MZZ196596:NAA196596 NJV196596:NJW196596 NTR196596:NTS196596 ODN196596:ODO196596 ONJ196596:ONK196596 OXF196596:OXG196596 PHB196596:PHC196596 PQX196596:PQY196596 QAT196596:QAU196596 QKP196596:QKQ196596 QUL196596:QUM196596 REH196596:REI196596 ROD196596:ROE196596 RXZ196596:RYA196596 SHV196596:SHW196596 SRR196596:SRS196596 TBN196596:TBO196596 TLJ196596:TLK196596 TVF196596:TVG196596 UFB196596:UFC196596 UOX196596:UOY196596 UYT196596:UYU196596 VIP196596:VIQ196596 VSL196596:VSM196596 WCH196596:WCI196596 WMD196596:WME196596 WVZ196596:WWA196596 S262132:T262132 JN262132:JO262132 TJ262132:TK262132 ADF262132:ADG262132 ANB262132:ANC262132 AWX262132:AWY262132 BGT262132:BGU262132 BQP262132:BQQ262132 CAL262132:CAM262132 CKH262132:CKI262132 CUD262132:CUE262132 DDZ262132:DEA262132 DNV262132:DNW262132 DXR262132:DXS262132 EHN262132:EHO262132 ERJ262132:ERK262132 FBF262132:FBG262132 FLB262132:FLC262132 FUX262132:FUY262132 GET262132:GEU262132 GOP262132:GOQ262132 GYL262132:GYM262132 HIH262132:HII262132 HSD262132:HSE262132 IBZ262132:ICA262132 ILV262132:ILW262132 IVR262132:IVS262132 JFN262132:JFO262132 JPJ262132:JPK262132 JZF262132:JZG262132 KJB262132:KJC262132 KSX262132:KSY262132 LCT262132:LCU262132 LMP262132:LMQ262132 LWL262132:LWM262132 MGH262132:MGI262132 MQD262132:MQE262132 MZZ262132:NAA262132 NJV262132:NJW262132 NTR262132:NTS262132 ODN262132:ODO262132 ONJ262132:ONK262132 OXF262132:OXG262132 PHB262132:PHC262132 PQX262132:PQY262132 QAT262132:QAU262132 QKP262132:QKQ262132 QUL262132:QUM262132 REH262132:REI262132 ROD262132:ROE262132 RXZ262132:RYA262132 SHV262132:SHW262132 SRR262132:SRS262132 TBN262132:TBO262132 TLJ262132:TLK262132 TVF262132:TVG262132 UFB262132:UFC262132 UOX262132:UOY262132 UYT262132:UYU262132 VIP262132:VIQ262132 VSL262132:VSM262132 WCH262132:WCI262132 WMD262132:WME262132 WVZ262132:WWA262132 S327668:T327668 JN327668:JO327668 TJ327668:TK327668 ADF327668:ADG327668 ANB327668:ANC327668 AWX327668:AWY327668 BGT327668:BGU327668 BQP327668:BQQ327668 CAL327668:CAM327668 CKH327668:CKI327668 CUD327668:CUE327668 DDZ327668:DEA327668 DNV327668:DNW327668 DXR327668:DXS327668 EHN327668:EHO327668 ERJ327668:ERK327668 FBF327668:FBG327668 FLB327668:FLC327668 FUX327668:FUY327668 GET327668:GEU327668 GOP327668:GOQ327668 GYL327668:GYM327668 HIH327668:HII327668 HSD327668:HSE327668 IBZ327668:ICA327668 ILV327668:ILW327668 IVR327668:IVS327668 JFN327668:JFO327668 JPJ327668:JPK327668 JZF327668:JZG327668 KJB327668:KJC327668 KSX327668:KSY327668 LCT327668:LCU327668 LMP327668:LMQ327668 LWL327668:LWM327668 MGH327668:MGI327668 MQD327668:MQE327668 MZZ327668:NAA327668 NJV327668:NJW327668 NTR327668:NTS327668 ODN327668:ODO327668 ONJ327668:ONK327668 OXF327668:OXG327668 PHB327668:PHC327668 PQX327668:PQY327668 QAT327668:QAU327668 QKP327668:QKQ327668 QUL327668:QUM327668 REH327668:REI327668 ROD327668:ROE327668 RXZ327668:RYA327668 SHV327668:SHW327668 SRR327668:SRS327668 TBN327668:TBO327668 TLJ327668:TLK327668 TVF327668:TVG327668 UFB327668:UFC327668 UOX327668:UOY327668 UYT327668:UYU327668 VIP327668:VIQ327668 VSL327668:VSM327668 WCH327668:WCI327668 WMD327668:WME327668 WVZ327668:WWA327668 S393204:T393204 JN393204:JO393204 TJ393204:TK393204 ADF393204:ADG393204 ANB393204:ANC393204 AWX393204:AWY393204 BGT393204:BGU393204 BQP393204:BQQ393204 CAL393204:CAM393204 CKH393204:CKI393204 CUD393204:CUE393204 DDZ393204:DEA393204 DNV393204:DNW393204 DXR393204:DXS393204 EHN393204:EHO393204 ERJ393204:ERK393204 FBF393204:FBG393204 FLB393204:FLC393204 FUX393204:FUY393204 GET393204:GEU393204 GOP393204:GOQ393204 GYL393204:GYM393204 HIH393204:HII393204 HSD393204:HSE393204 IBZ393204:ICA393204 ILV393204:ILW393204 IVR393204:IVS393204 JFN393204:JFO393204 JPJ393204:JPK393204 JZF393204:JZG393204 KJB393204:KJC393204 KSX393204:KSY393204 LCT393204:LCU393204 LMP393204:LMQ393204 LWL393204:LWM393204 MGH393204:MGI393204 MQD393204:MQE393204 MZZ393204:NAA393204 NJV393204:NJW393204 NTR393204:NTS393204 ODN393204:ODO393204 ONJ393204:ONK393204 OXF393204:OXG393204 PHB393204:PHC393204 PQX393204:PQY393204 QAT393204:QAU393204 QKP393204:QKQ393204 QUL393204:QUM393204 REH393204:REI393204 ROD393204:ROE393204 RXZ393204:RYA393204 SHV393204:SHW393204 SRR393204:SRS393204 TBN393204:TBO393204 TLJ393204:TLK393204 TVF393204:TVG393204 UFB393204:UFC393204 UOX393204:UOY393204 UYT393204:UYU393204 VIP393204:VIQ393204 VSL393204:VSM393204 WCH393204:WCI393204 WMD393204:WME393204 WVZ393204:WWA393204 S458740:T458740 JN458740:JO458740 TJ458740:TK458740 ADF458740:ADG458740 ANB458740:ANC458740 AWX458740:AWY458740 BGT458740:BGU458740 BQP458740:BQQ458740 CAL458740:CAM458740 CKH458740:CKI458740 CUD458740:CUE458740 DDZ458740:DEA458740 DNV458740:DNW458740 DXR458740:DXS458740 EHN458740:EHO458740 ERJ458740:ERK458740 FBF458740:FBG458740 FLB458740:FLC458740 FUX458740:FUY458740 GET458740:GEU458740 GOP458740:GOQ458740 GYL458740:GYM458740 HIH458740:HII458740 HSD458740:HSE458740 IBZ458740:ICA458740 ILV458740:ILW458740 IVR458740:IVS458740 JFN458740:JFO458740 JPJ458740:JPK458740 JZF458740:JZG458740 KJB458740:KJC458740 KSX458740:KSY458740 LCT458740:LCU458740 LMP458740:LMQ458740 LWL458740:LWM458740 MGH458740:MGI458740 MQD458740:MQE458740 MZZ458740:NAA458740 NJV458740:NJW458740 NTR458740:NTS458740 ODN458740:ODO458740 ONJ458740:ONK458740 OXF458740:OXG458740 PHB458740:PHC458740 PQX458740:PQY458740 QAT458740:QAU458740 QKP458740:QKQ458740 QUL458740:QUM458740 REH458740:REI458740 ROD458740:ROE458740 RXZ458740:RYA458740 SHV458740:SHW458740 SRR458740:SRS458740 TBN458740:TBO458740 TLJ458740:TLK458740 TVF458740:TVG458740 UFB458740:UFC458740 UOX458740:UOY458740 UYT458740:UYU458740 VIP458740:VIQ458740 VSL458740:VSM458740 WCH458740:WCI458740 WMD458740:WME458740 WVZ458740:WWA458740 S524276:T524276 JN524276:JO524276 TJ524276:TK524276 ADF524276:ADG524276 ANB524276:ANC524276 AWX524276:AWY524276 BGT524276:BGU524276 BQP524276:BQQ524276 CAL524276:CAM524276 CKH524276:CKI524276 CUD524276:CUE524276 DDZ524276:DEA524276 DNV524276:DNW524276 DXR524276:DXS524276 EHN524276:EHO524276 ERJ524276:ERK524276 FBF524276:FBG524276 FLB524276:FLC524276 FUX524276:FUY524276 GET524276:GEU524276 GOP524276:GOQ524276 GYL524276:GYM524276 HIH524276:HII524276 HSD524276:HSE524276 IBZ524276:ICA524276 ILV524276:ILW524276 IVR524276:IVS524276 JFN524276:JFO524276 JPJ524276:JPK524276 JZF524276:JZG524276 KJB524276:KJC524276 KSX524276:KSY524276 LCT524276:LCU524276 LMP524276:LMQ524276 LWL524276:LWM524276 MGH524276:MGI524276 MQD524276:MQE524276 MZZ524276:NAA524276 NJV524276:NJW524276 NTR524276:NTS524276 ODN524276:ODO524276 ONJ524276:ONK524276 OXF524276:OXG524276 PHB524276:PHC524276 PQX524276:PQY524276 QAT524276:QAU524276 QKP524276:QKQ524276 QUL524276:QUM524276 REH524276:REI524276 ROD524276:ROE524276 RXZ524276:RYA524276 SHV524276:SHW524276 SRR524276:SRS524276 TBN524276:TBO524276 TLJ524276:TLK524276 TVF524276:TVG524276 UFB524276:UFC524276 UOX524276:UOY524276 UYT524276:UYU524276 VIP524276:VIQ524276 VSL524276:VSM524276 WCH524276:WCI524276 WMD524276:WME524276 WVZ524276:WWA524276 S589812:T589812 JN589812:JO589812 TJ589812:TK589812 ADF589812:ADG589812 ANB589812:ANC589812 AWX589812:AWY589812 BGT589812:BGU589812 BQP589812:BQQ589812 CAL589812:CAM589812 CKH589812:CKI589812 CUD589812:CUE589812 DDZ589812:DEA589812 DNV589812:DNW589812 DXR589812:DXS589812 EHN589812:EHO589812 ERJ589812:ERK589812 FBF589812:FBG589812 FLB589812:FLC589812 FUX589812:FUY589812 GET589812:GEU589812 GOP589812:GOQ589812 GYL589812:GYM589812 HIH589812:HII589812 HSD589812:HSE589812 IBZ589812:ICA589812 ILV589812:ILW589812 IVR589812:IVS589812 JFN589812:JFO589812 JPJ589812:JPK589812 JZF589812:JZG589812 KJB589812:KJC589812 KSX589812:KSY589812 LCT589812:LCU589812 LMP589812:LMQ589812 LWL589812:LWM589812 MGH589812:MGI589812 MQD589812:MQE589812 MZZ589812:NAA589812 NJV589812:NJW589812 NTR589812:NTS589812 ODN589812:ODO589812 ONJ589812:ONK589812 OXF589812:OXG589812 PHB589812:PHC589812 PQX589812:PQY589812 QAT589812:QAU589812 QKP589812:QKQ589812 QUL589812:QUM589812 REH589812:REI589812 ROD589812:ROE589812 RXZ589812:RYA589812 SHV589812:SHW589812 SRR589812:SRS589812 TBN589812:TBO589812 TLJ589812:TLK589812 TVF589812:TVG589812 UFB589812:UFC589812 UOX589812:UOY589812 UYT589812:UYU589812 VIP589812:VIQ589812 VSL589812:VSM589812 WCH589812:WCI589812 WMD589812:WME589812 WVZ589812:WWA589812 S655348:T655348 JN655348:JO655348 TJ655348:TK655348 ADF655348:ADG655348 ANB655348:ANC655348 AWX655348:AWY655348 BGT655348:BGU655348 BQP655348:BQQ655348 CAL655348:CAM655348 CKH655348:CKI655348 CUD655348:CUE655348 DDZ655348:DEA655348 DNV655348:DNW655348 DXR655348:DXS655348 EHN655348:EHO655348 ERJ655348:ERK655348 FBF655348:FBG655348 FLB655348:FLC655348 FUX655348:FUY655348 GET655348:GEU655348 GOP655348:GOQ655348 GYL655348:GYM655348 HIH655348:HII655348 HSD655348:HSE655348 IBZ655348:ICA655348 ILV655348:ILW655348 IVR655348:IVS655348 JFN655348:JFO655348 JPJ655348:JPK655348 JZF655348:JZG655348 KJB655348:KJC655348 KSX655348:KSY655348 LCT655348:LCU655348 LMP655348:LMQ655348 LWL655348:LWM655348 MGH655348:MGI655348 MQD655348:MQE655348 MZZ655348:NAA655348 NJV655348:NJW655348 NTR655348:NTS655348 ODN655348:ODO655348 ONJ655348:ONK655348 OXF655348:OXG655348 PHB655348:PHC655348 PQX655348:PQY655348 QAT655348:QAU655348 QKP655348:QKQ655348 QUL655348:QUM655348 REH655348:REI655348 ROD655348:ROE655348 RXZ655348:RYA655348 SHV655348:SHW655348 SRR655348:SRS655348 TBN655348:TBO655348 TLJ655348:TLK655348 TVF655348:TVG655348 UFB655348:UFC655348 UOX655348:UOY655348 UYT655348:UYU655348 VIP655348:VIQ655348 VSL655348:VSM655348 WCH655348:WCI655348 WMD655348:WME655348 WVZ655348:WWA655348 S720884:T720884 JN720884:JO720884 TJ720884:TK720884 ADF720884:ADG720884 ANB720884:ANC720884 AWX720884:AWY720884 BGT720884:BGU720884 BQP720884:BQQ720884 CAL720884:CAM720884 CKH720884:CKI720884 CUD720884:CUE720884 DDZ720884:DEA720884 DNV720884:DNW720884 DXR720884:DXS720884 EHN720884:EHO720884 ERJ720884:ERK720884 FBF720884:FBG720884 FLB720884:FLC720884 FUX720884:FUY720884 GET720884:GEU720884 GOP720884:GOQ720884 GYL720884:GYM720884 HIH720884:HII720884 HSD720884:HSE720884 IBZ720884:ICA720884 ILV720884:ILW720884 IVR720884:IVS720884 JFN720884:JFO720884 JPJ720884:JPK720884 JZF720884:JZG720884 KJB720884:KJC720884 KSX720884:KSY720884 LCT720884:LCU720884 LMP720884:LMQ720884 LWL720884:LWM720884 MGH720884:MGI720884 MQD720884:MQE720884 MZZ720884:NAA720884 NJV720884:NJW720884 NTR720884:NTS720884 ODN720884:ODO720884 ONJ720884:ONK720884 OXF720884:OXG720884 PHB720884:PHC720884 PQX720884:PQY720884 QAT720884:QAU720884 QKP720884:QKQ720884 QUL720884:QUM720884 REH720884:REI720884 ROD720884:ROE720884 RXZ720884:RYA720884 SHV720884:SHW720884 SRR720884:SRS720884 TBN720884:TBO720884 TLJ720884:TLK720884 TVF720884:TVG720884 UFB720884:UFC720884 UOX720884:UOY720884 UYT720884:UYU720884 VIP720884:VIQ720884 VSL720884:VSM720884 WCH720884:WCI720884 WMD720884:WME720884 WVZ720884:WWA720884 S786420:T786420 JN786420:JO786420 TJ786420:TK786420 ADF786420:ADG786420 ANB786420:ANC786420 AWX786420:AWY786420 BGT786420:BGU786420 BQP786420:BQQ786420 CAL786420:CAM786420 CKH786420:CKI786420 CUD786420:CUE786420 DDZ786420:DEA786420 DNV786420:DNW786420 DXR786420:DXS786420 EHN786420:EHO786420 ERJ786420:ERK786420 FBF786420:FBG786420 FLB786420:FLC786420 FUX786420:FUY786420 GET786420:GEU786420 GOP786420:GOQ786420 GYL786420:GYM786420 HIH786420:HII786420 HSD786420:HSE786420 IBZ786420:ICA786420 ILV786420:ILW786420 IVR786420:IVS786420 JFN786420:JFO786420 JPJ786420:JPK786420 JZF786420:JZG786420 KJB786420:KJC786420 KSX786420:KSY786420 LCT786420:LCU786420 LMP786420:LMQ786420 LWL786420:LWM786420 MGH786420:MGI786420 MQD786420:MQE786420 MZZ786420:NAA786420 NJV786420:NJW786420 NTR786420:NTS786420 ODN786420:ODO786420 ONJ786420:ONK786420 OXF786420:OXG786420 PHB786420:PHC786420 PQX786420:PQY786420 QAT786420:QAU786420 QKP786420:QKQ786420 QUL786420:QUM786420 REH786420:REI786420 ROD786420:ROE786420 RXZ786420:RYA786420 SHV786420:SHW786420 SRR786420:SRS786420 TBN786420:TBO786420 TLJ786420:TLK786420 TVF786420:TVG786420 UFB786420:UFC786420 UOX786420:UOY786420 UYT786420:UYU786420 VIP786420:VIQ786420 VSL786420:VSM786420 WCH786420:WCI786420 WMD786420:WME786420 WVZ786420:WWA786420 S851956:T851956 JN851956:JO851956 TJ851956:TK851956 ADF851956:ADG851956 ANB851956:ANC851956 AWX851956:AWY851956 BGT851956:BGU851956 BQP851956:BQQ851956 CAL851956:CAM851956 CKH851956:CKI851956 CUD851956:CUE851956 DDZ851956:DEA851956 DNV851956:DNW851956 DXR851956:DXS851956 EHN851956:EHO851956 ERJ851956:ERK851956 FBF851956:FBG851956 FLB851956:FLC851956 FUX851956:FUY851956 GET851956:GEU851956 GOP851956:GOQ851956 GYL851956:GYM851956 HIH851956:HII851956 HSD851956:HSE851956 IBZ851956:ICA851956 ILV851956:ILW851956 IVR851956:IVS851956 JFN851956:JFO851956 JPJ851956:JPK851956 JZF851956:JZG851956 KJB851956:KJC851956 KSX851956:KSY851956 LCT851956:LCU851956 LMP851956:LMQ851956 LWL851956:LWM851956 MGH851956:MGI851956 MQD851956:MQE851956 MZZ851956:NAA851956 NJV851956:NJW851956 NTR851956:NTS851956 ODN851956:ODO851956 ONJ851956:ONK851956 OXF851956:OXG851956 PHB851956:PHC851956 PQX851956:PQY851956 QAT851956:QAU851956 QKP851956:QKQ851956 QUL851956:QUM851956 REH851956:REI851956 ROD851956:ROE851956 RXZ851956:RYA851956 SHV851956:SHW851956 SRR851956:SRS851956 TBN851956:TBO851956 TLJ851956:TLK851956 TVF851956:TVG851956 UFB851956:UFC851956 UOX851956:UOY851956 UYT851956:UYU851956 VIP851956:VIQ851956 VSL851956:VSM851956 WCH851956:WCI851956 WMD851956:WME851956 WVZ851956:WWA851956 S917492:T917492 JN917492:JO917492 TJ917492:TK917492 ADF917492:ADG917492 ANB917492:ANC917492 AWX917492:AWY917492 BGT917492:BGU917492 BQP917492:BQQ917492 CAL917492:CAM917492 CKH917492:CKI917492 CUD917492:CUE917492 DDZ917492:DEA917492 DNV917492:DNW917492 DXR917492:DXS917492 EHN917492:EHO917492 ERJ917492:ERK917492 FBF917492:FBG917492 FLB917492:FLC917492 FUX917492:FUY917492 GET917492:GEU917492 GOP917492:GOQ917492 GYL917492:GYM917492 HIH917492:HII917492 HSD917492:HSE917492 IBZ917492:ICA917492 ILV917492:ILW917492 IVR917492:IVS917492 JFN917492:JFO917492 JPJ917492:JPK917492 JZF917492:JZG917492 KJB917492:KJC917492 KSX917492:KSY917492 LCT917492:LCU917492 LMP917492:LMQ917492 LWL917492:LWM917492 MGH917492:MGI917492 MQD917492:MQE917492 MZZ917492:NAA917492 NJV917492:NJW917492 NTR917492:NTS917492 ODN917492:ODO917492 ONJ917492:ONK917492 OXF917492:OXG917492 PHB917492:PHC917492 PQX917492:PQY917492 QAT917492:QAU917492 QKP917492:QKQ917492 QUL917492:QUM917492 REH917492:REI917492 ROD917492:ROE917492 RXZ917492:RYA917492 SHV917492:SHW917492 SRR917492:SRS917492 TBN917492:TBO917492 TLJ917492:TLK917492 TVF917492:TVG917492 UFB917492:UFC917492 UOX917492:UOY917492 UYT917492:UYU917492 VIP917492:VIQ917492 VSL917492:VSM917492 WCH917492:WCI917492 WMD917492:WME917492 WVZ917492:WWA917492 S983028:T983028 JN983028:JO983028 TJ983028:TK983028 ADF983028:ADG983028 ANB983028:ANC983028 AWX983028:AWY983028 BGT983028:BGU983028 BQP983028:BQQ983028 CAL983028:CAM983028 CKH983028:CKI983028 CUD983028:CUE983028 DDZ983028:DEA983028 DNV983028:DNW983028 DXR983028:DXS983028 EHN983028:EHO983028 ERJ983028:ERK983028 FBF983028:FBG983028 FLB983028:FLC983028 FUX983028:FUY983028 GET983028:GEU983028 GOP983028:GOQ983028 GYL983028:GYM983028 HIH983028:HII983028 HSD983028:HSE983028 IBZ983028:ICA983028 ILV983028:ILW983028 IVR983028:IVS983028 JFN983028:JFO983028 JPJ983028:JPK983028 JZF983028:JZG983028 KJB983028:KJC983028 KSX983028:KSY983028 LCT983028:LCU983028 LMP983028:LMQ983028 LWL983028:LWM983028 MGH983028:MGI983028 MQD983028:MQE983028 MZZ983028:NAA983028 NJV983028:NJW983028 NTR983028:NTS983028 ODN983028:ODO983028 ONJ983028:ONK983028 OXF983028:OXG983028 PHB983028:PHC983028 PQX983028:PQY983028 QAT983028:QAU983028 QKP983028:QKQ983028 QUL983028:QUM983028 REH983028:REI983028 ROD983028:ROE983028 RXZ983028:RYA983028 SHV983028:SHW983028 SRR983028:SRS983028 TBN983028:TBO983028 TLJ983028:TLK983028 TVF983028:TVG983028 UFB983028:UFC983028 UOX983028:UOY983028 UYT983028:UYU983028 VIP983028:VIQ983028 VSL983028:VSM983028 WCH983028:WCI983028 WMD983028:WME983028 WVZ983028:WWA983028 S65503:T65514 JN65503:JO65514 TJ65503:TK65514 ADF65503:ADG65514 ANB65503:ANC65514 AWX65503:AWY65514 BGT65503:BGU65514 BQP65503:BQQ65514 CAL65503:CAM65514 CKH65503:CKI65514 CUD65503:CUE65514 DDZ65503:DEA65514 DNV65503:DNW65514 DXR65503:DXS65514 EHN65503:EHO65514 ERJ65503:ERK65514 FBF65503:FBG65514 FLB65503:FLC65514 FUX65503:FUY65514 GET65503:GEU65514 GOP65503:GOQ65514 GYL65503:GYM65514 HIH65503:HII65514 HSD65503:HSE65514 IBZ65503:ICA65514 ILV65503:ILW65514 IVR65503:IVS65514 JFN65503:JFO65514 JPJ65503:JPK65514 JZF65503:JZG65514 KJB65503:KJC65514 KSX65503:KSY65514 LCT65503:LCU65514 LMP65503:LMQ65514 LWL65503:LWM65514 MGH65503:MGI65514 MQD65503:MQE65514 MZZ65503:NAA65514 NJV65503:NJW65514 NTR65503:NTS65514 ODN65503:ODO65514 ONJ65503:ONK65514 OXF65503:OXG65514 PHB65503:PHC65514 PQX65503:PQY65514 QAT65503:QAU65514 QKP65503:QKQ65514 QUL65503:QUM65514 REH65503:REI65514 ROD65503:ROE65514 RXZ65503:RYA65514 SHV65503:SHW65514 SRR65503:SRS65514 TBN65503:TBO65514 TLJ65503:TLK65514 TVF65503:TVG65514 UFB65503:UFC65514 UOX65503:UOY65514 UYT65503:UYU65514 VIP65503:VIQ65514 VSL65503:VSM65514 WCH65503:WCI65514 WMD65503:WME65514 WVZ65503:WWA65514 S131039:T131050 JN131039:JO131050 TJ131039:TK131050 ADF131039:ADG131050 ANB131039:ANC131050 AWX131039:AWY131050 BGT131039:BGU131050 BQP131039:BQQ131050 CAL131039:CAM131050 CKH131039:CKI131050 CUD131039:CUE131050 DDZ131039:DEA131050 DNV131039:DNW131050 DXR131039:DXS131050 EHN131039:EHO131050 ERJ131039:ERK131050 FBF131039:FBG131050 FLB131039:FLC131050 FUX131039:FUY131050 GET131039:GEU131050 GOP131039:GOQ131050 GYL131039:GYM131050 HIH131039:HII131050 HSD131039:HSE131050 IBZ131039:ICA131050 ILV131039:ILW131050 IVR131039:IVS131050 JFN131039:JFO131050 JPJ131039:JPK131050 JZF131039:JZG131050 KJB131039:KJC131050 KSX131039:KSY131050 LCT131039:LCU131050 LMP131039:LMQ131050 LWL131039:LWM131050 MGH131039:MGI131050 MQD131039:MQE131050 MZZ131039:NAA131050 NJV131039:NJW131050 NTR131039:NTS131050 ODN131039:ODO131050 ONJ131039:ONK131050 OXF131039:OXG131050 PHB131039:PHC131050 PQX131039:PQY131050 QAT131039:QAU131050 QKP131039:QKQ131050 QUL131039:QUM131050 REH131039:REI131050 ROD131039:ROE131050 RXZ131039:RYA131050 SHV131039:SHW131050 SRR131039:SRS131050 TBN131039:TBO131050 TLJ131039:TLK131050 TVF131039:TVG131050 UFB131039:UFC131050 UOX131039:UOY131050 UYT131039:UYU131050 VIP131039:VIQ131050 VSL131039:VSM131050 WCH131039:WCI131050 WMD131039:WME131050 WVZ131039:WWA131050 S196575:T196586 JN196575:JO196586 TJ196575:TK196586 ADF196575:ADG196586 ANB196575:ANC196586 AWX196575:AWY196586 BGT196575:BGU196586 BQP196575:BQQ196586 CAL196575:CAM196586 CKH196575:CKI196586 CUD196575:CUE196586 DDZ196575:DEA196586 DNV196575:DNW196586 DXR196575:DXS196586 EHN196575:EHO196586 ERJ196575:ERK196586 FBF196575:FBG196586 FLB196575:FLC196586 FUX196575:FUY196586 GET196575:GEU196586 GOP196575:GOQ196586 GYL196575:GYM196586 HIH196575:HII196586 HSD196575:HSE196586 IBZ196575:ICA196586 ILV196575:ILW196586 IVR196575:IVS196586 JFN196575:JFO196586 JPJ196575:JPK196586 JZF196575:JZG196586 KJB196575:KJC196586 KSX196575:KSY196586 LCT196575:LCU196586 LMP196575:LMQ196586 LWL196575:LWM196586 MGH196575:MGI196586 MQD196575:MQE196586 MZZ196575:NAA196586 NJV196575:NJW196586 NTR196575:NTS196586 ODN196575:ODO196586 ONJ196575:ONK196586 OXF196575:OXG196586 PHB196575:PHC196586 PQX196575:PQY196586 QAT196575:QAU196586 QKP196575:QKQ196586 QUL196575:QUM196586 REH196575:REI196586 ROD196575:ROE196586 RXZ196575:RYA196586 SHV196575:SHW196586 SRR196575:SRS196586 TBN196575:TBO196586 TLJ196575:TLK196586 TVF196575:TVG196586 UFB196575:UFC196586 UOX196575:UOY196586 UYT196575:UYU196586 VIP196575:VIQ196586 VSL196575:VSM196586 WCH196575:WCI196586 WMD196575:WME196586 WVZ196575:WWA196586 S262111:T262122 JN262111:JO262122 TJ262111:TK262122 ADF262111:ADG262122 ANB262111:ANC262122 AWX262111:AWY262122 BGT262111:BGU262122 BQP262111:BQQ262122 CAL262111:CAM262122 CKH262111:CKI262122 CUD262111:CUE262122 DDZ262111:DEA262122 DNV262111:DNW262122 DXR262111:DXS262122 EHN262111:EHO262122 ERJ262111:ERK262122 FBF262111:FBG262122 FLB262111:FLC262122 FUX262111:FUY262122 GET262111:GEU262122 GOP262111:GOQ262122 GYL262111:GYM262122 HIH262111:HII262122 HSD262111:HSE262122 IBZ262111:ICA262122 ILV262111:ILW262122 IVR262111:IVS262122 JFN262111:JFO262122 JPJ262111:JPK262122 JZF262111:JZG262122 KJB262111:KJC262122 KSX262111:KSY262122 LCT262111:LCU262122 LMP262111:LMQ262122 LWL262111:LWM262122 MGH262111:MGI262122 MQD262111:MQE262122 MZZ262111:NAA262122 NJV262111:NJW262122 NTR262111:NTS262122 ODN262111:ODO262122 ONJ262111:ONK262122 OXF262111:OXG262122 PHB262111:PHC262122 PQX262111:PQY262122 QAT262111:QAU262122 QKP262111:QKQ262122 QUL262111:QUM262122 REH262111:REI262122 ROD262111:ROE262122 RXZ262111:RYA262122 SHV262111:SHW262122 SRR262111:SRS262122 TBN262111:TBO262122 TLJ262111:TLK262122 TVF262111:TVG262122 UFB262111:UFC262122 UOX262111:UOY262122 UYT262111:UYU262122 VIP262111:VIQ262122 VSL262111:VSM262122 WCH262111:WCI262122 WMD262111:WME262122 WVZ262111:WWA262122 S327647:T327658 JN327647:JO327658 TJ327647:TK327658 ADF327647:ADG327658 ANB327647:ANC327658 AWX327647:AWY327658 BGT327647:BGU327658 BQP327647:BQQ327658 CAL327647:CAM327658 CKH327647:CKI327658 CUD327647:CUE327658 DDZ327647:DEA327658 DNV327647:DNW327658 DXR327647:DXS327658 EHN327647:EHO327658 ERJ327647:ERK327658 FBF327647:FBG327658 FLB327647:FLC327658 FUX327647:FUY327658 GET327647:GEU327658 GOP327647:GOQ327658 GYL327647:GYM327658 HIH327647:HII327658 HSD327647:HSE327658 IBZ327647:ICA327658 ILV327647:ILW327658 IVR327647:IVS327658 JFN327647:JFO327658 JPJ327647:JPK327658 JZF327647:JZG327658 KJB327647:KJC327658 KSX327647:KSY327658 LCT327647:LCU327658 LMP327647:LMQ327658 LWL327647:LWM327658 MGH327647:MGI327658 MQD327647:MQE327658 MZZ327647:NAA327658 NJV327647:NJW327658 NTR327647:NTS327658 ODN327647:ODO327658 ONJ327647:ONK327658 OXF327647:OXG327658 PHB327647:PHC327658 PQX327647:PQY327658 QAT327647:QAU327658 QKP327647:QKQ327658 QUL327647:QUM327658 REH327647:REI327658 ROD327647:ROE327658 RXZ327647:RYA327658 SHV327647:SHW327658 SRR327647:SRS327658 TBN327647:TBO327658 TLJ327647:TLK327658 TVF327647:TVG327658 UFB327647:UFC327658 UOX327647:UOY327658 UYT327647:UYU327658 VIP327647:VIQ327658 VSL327647:VSM327658 WCH327647:WCI327658 WMD327647:WME327658 WVZ327647:WWA327658 S393183:T393194 JN393183:JO393194 TJ393183:TK393194 ADF393183:ADG393194 ANB393183:ANC393194 AWX393183:AWY393194 BGT393183:BGU393194 BQP393183:BQQ393194 CAL393183:CAM393194 CKH393183:CKI393194 CUD393183:CUE393194 DDZ393183:DEA393194 DNV393183:DNW393194 DXR393183:DXS393194 EHN393183:EHO393194 ERJ393183:ERK393194 FBF393183:FBG393194 FLB393183:FLC393194 FUX393183:FUY393194 GET393183:GEU393194 GOP393183:GOQ393194 GYL393183:GYM393194 HIH393183:HII393194 HSD393183:HSE393194 IBZ393183:ICA393194 ILV393183:ILW393194 IVR393183:IVS393194 JFN393183:JFO393194 JPJ393183:JPK393194 JZF393183:JZG393194 KJB393183:KJC393194 KSX393183:KSY393194 LCT393183:LCU393194 LMP393183:LMQ393194 LWL393183:LWM393194 MGH393183:MGI393194 MQD393183:MQE393194 MZZ393183:NAA393194 NJV393183:NJW393194 NTR393183:NTS393194 ODN393183:ODO393194 ONJ393183:ONK393194 OXF393183:OXG393194 PHB393183:PHC393194 PQX393183:PQY393194 QAT393183:QAU393194 QKP393183:QKQ393194 QUL393183:QUM393194 REH393183:REI393194 ROD393183:ROE393194 RXZ393183:RYA393194 SHV393183:SHW393194 SRR393183:SRS393194 TBN393183:TBO393194 TLJ393183:TLK393194 TVF393183:TVG393194 UFB393183:UFC393194 UOX393183:UOY393194 UYT393183:UYU393194 VIP393183:VIQ393194 VSL393183:VSM393194 WCH393183:WCI393194 WMD393183:WME393194 WVZ393183:WWA393194 S458719:T458730 JN458719:JO458730 TJ458719:TK458730 ADF458719:ADG458730 ANB458719:ANC458730 AWX458719:AWY458730 BGT458719:BGU458730 BQP458719:BQQ458730 CAL458719:CAM458730 CKH458719:CKI458730 CUD458719:CUE458730 DDZ458719:DEA458730 DNV458719:DNW458730 DXR458719:DXS458730 EHN458719:EHO458730 ERJ458719:ERK458730 FBF458719:FBG458730 FLB458719:FLC458730 FUX458719:FUY458730 GET458719:GEU458730 GOP458719:GOQ458730 GYL458719:GYM458730 HIH458719:HII458730 HSD458719:HSE458730 IBZ458719:ICA458730 ILV458719:ILW458730 IVR458719:IVS458730 JFN458719:JFO458730 JPJ458719:JPK458730 JZF458719:JZG458730 KJB458719:KJC458730 KSX458719:KSY458730 LCT458719:LCU458730 LMP458719:LMQ458730 LWL458719:LWM458730 MGH458719:MGI458730 MQD458719:MQE458730 MZZ458719:NAA458730 NJV458719:NJW458730 NTR458719:NTS458730 ODN458719:ODO458730 ONJ458719:ONK458730 OXF458719:OXG458730 PHB458719:PHC458730 PQX458719:PQY458730 QAT458719:QAU458730 QKP458719:QKQ458730 QUL458719:QUM458730 REH458719:REI458730 ROD458719:ROE458730 RXZ458719:RYA458730 SHV458719:SHW458730 SRR458719:SRS458730 TBN458719:TBO458730 TLJ458719:TLK458730 TVF458719:TVG458730 UFB458719:UFC458730 UOX458719:UOY458730 UYT458719:UYU458730 VIP458719:VIQ458730 VSL458719:VSM458730 WCH458719:WCI458730 WMD458719:WME458730 WVZ458719:WWA458730 S524255:T524266 JN524255:JO524266 TJ524255:TK524266 ADF524255:ADG524266 ANB524255:ANC524266 AWX524255:AWY524266 BGT524255:BGU524266 BQP524255:BQQ524266 CAL524255:CAM524266 CKH524255:CKI524266 CUD524255:CUE524266 DDZ524255:DEA524266 DNV524255:DNW524266 DXR524255:DXS524266 EHN524255:EHO524266 ERJ524255:ERK524266 FBF524255:FBG524266 FLB524255:FLC524266 FUX524255:FUY524266 GET524255:GEU524266 GOP524255:GOQ524266 GYL524255:GYM524266 HIH524255:HII524266 HSD524255:HSE524266 IBZ524255:ICA524266 ILV524255:ILW524266 IVR524255:IVS524266 JFN524255:JFO524266 JPJ524255:JPK524266 JZF524255:JZG524266 KJB524255:KJC524266 KSX524255:KSY524266 LCT524255:LCU524266 LMP524255:LMQ524266 LWL524255:LWM524266 MGH524255:MGI524266 MQD524255:MQE524266 MZZ524255:NAA524266 NJV524255:NJW524266 NTR524255:NTS524266 ODN524255:ODO524266 ONJ524255:ONK524266 OXF524255:OXG524266 PHB524255:PHC524266 PQX524255:PQY524266 QAT524255:QAU524266 QKP524255:QKQ524266 QUL524255:QUM524266 REH524255:REI524266 ROD524255:ROE524266 RXZ524255:RYA524266 SHV524255:SHW524266 SRR524255:SRS524266 TBN524255:TBO524266 TLJ524255:TLK524266 TVF524255:TVG524266 UFB524255:UFC524266 UOX524255:UOY524266 UYT524255:UYU524266 VIP524255:VIQ524266 VSL524255:VSM524266 WCH524255:WCI524266 WMD524255:WME524266 WVZ524255:WWA524266 S589791:T589802 JN589791:JO589802 TJ589791:TK589802 ADF589791:ADG589802 ANB589791:ANC589802 AWX589791:AWY589802 BGT589791:BGU589802 BQP589791:BQQ589802 CAL589791:CAM589802 CKH589791:CKI589802 CUD589791:CUE589802 DDZ589791:DEA589802 DNV589791:DNW589802 DXR589791:DXS589802 EHN589791:EHO589802 ERJ589791:ERK589802 FBF589791:FBG589802 FLB589791:FLC589802 FUX589791:FUY589802 GET589791:GEU589802 GOP589791:GOQ589802 GYL589791:GYM589802 HIH589791:HII589802 HSD589791:HSE589802 IBZ589791:ICA589802 ILV589791:ILW589802 IVR589791:IVS589802 JFN589791:JFO589802 JPJ589791:JPK589802 JZF589791:JZG589802 KJB589791:KJC589802 KSX589791:KSY589802 LCT589791:LCU589802 LMP589791:LMQ589802 LWL589791:LWM589802 MGH589791:MGI589802 MQD589791:MQE589802 MZZ589791:NAA589802 NJV589791:NJW589802 NTR589791:NTS589802 ODN589791:ODO589802 ONJ589791:ONK589802 OXF589791:OXG589802 PHB589791:PHC589802 PQX589791:PQY589802 QAT589791:QAU589802 QKP589791:QKQ589802 QUL589791:QUM589802 REH589791:REI589802 ROD589791:ROE589802 RXZ589791:RYA589802 SHV589791:SHW589802 SRR589791:SRS589802 TBN589791:TBO589802 TLJ589791:TLK589802 TVF589791:TVG589802 UFB589791:UFC589802 UOX589791:UOY589802 UYT589791:UYU589802 VIP589791:VIQ589802 VSL589791:VSM589802 WCH589791:WCI589802 WMD589791:WME589802 WVZ589791:WWA589802 S655327:T655338 JN655327:JO655338 TJ655327:TK655338 ADF655327:ADG655338 ANB655327:ANC655338 AWX655327:AWY655338 BGT655327:BGU655338 BQP655327:BQQ655338 CAL655327:CAM655338 CKH655327:CKI655338 CUD655327:CUE655338 DDZ655327:DEA655338 DNV655327:DNW655338 DXR655327:DXS655338 EHN655327:EHO655338 ERJ655327:ERK655338 FBF655327:FBG655338 FLB655327:FLC655338 FUX655327:FUY655338 GET655327:GEU655338 GOP655327:GOQ655338 GYL655327:GYM655338 HIH655327:HII655338 HSD655327:HSE655338 IBZ655327:ICA655338 ILV655327:ILW655338 IVR655327:IVS655338 JFN655327:JFO655338 JPJ655327:JPK655338 JZF655327:JZG655338 KJB655327:KJC655338 KSX655327:KSY655338 LCT655327:LCU655338 LMP655327:LMQ655338 LWL655327:LWM655338 MGH655327:MGI655338 MQD655327:MQE655338 MZZ655327:NAA655338 NJV655327:NJW655338 NTR655327:NTS655338 ODN655327:ODO655338 ONJ655327:ONK655338 OXF655327:OXG655338 PHB655327:PHC655338 PQX655327:PQY655338 QAT655327:QAU655338 QKP655327:QKQ655338 QUL655327:QUM655338 REH655327:REI655338 ROD655327:ROE655338 RXZ655327:RYA655338 SHV655327:SHW655338 SRR655327:SRS655338 TBN655327:TBO655338 TLJ655327:TLK655338 TVF655327:TVG655338 UFB655327:UFC655338 UOX655327:UOY655338 UYT655327:UYU655338 VIP655327:VIQ655338 VSL655327:VSM655338 WCH655327:WCI655338 WMD655327:WME655338 WVZ655327:WWA655338 S720863:T720874 JN720863:JO720874 TJ720863:TK720874 ADF720863:ADG720874 ANB720863:ANC720874 AWX720863:AWY720874 BGT720863:BGU720874 BQP720863:BQQ720874 CAL720863:CAM720874 CKH720863:CKI720874 CUD720863:CUE720874 DDZ720863:DEA720874 DNV720863:DNW720874 DXR720863:DXS720874 EHN720863:EHO720874 ERJ720863:ERK720874 FBF720863:FBG720874 FLB720863:FLC720874 FUX720863:FUY720874 GET720863:GEU720874 GOP720863:GOQ720874 GYL720863:GYM720874 HIH720863:HII720874 HSD720863:HSE720874 IBZ720863:ICA720874 ILV720863:ILW720874 IVR720863:IVS720874 JFN720863:JFO720874 JPJ720863:JPK720874 JZF720863:JZG720874 KJB720863:KJC720874 KSX720863:KSY720874 LCT720863:LCU720874 LMP720863:LMQ720874 LWL720863:LWM720874 MGH720863:MGI720874 MQD720863:MQE720874 MZZ720863:NAA720874 NJV720863:NJW720874 NTR720863:NTS720874 ODN720863:ODO720874 ONJ720863:ONK720874 OXF720863:OXG720874 PHB720863:PHC720874 PQX720863:PQY720874 QAT720863:QAU720874 QKP720863:QKQ720874 QUL720863:QUM720874 REH720863:REI720874 ROD720863:ROE720874 RXZ720863:RYA720874 SHV720863:SHW720874 SRR720863:SRS720874 TBN720863:TBO720874 TLJ720863:TLK720874 TVF720863:TVG720874 UFB720863:UFC720874 UOX720863:UOY720874 UYT720863:UYU720874 VIP720863:VIQ720874 VSL720863:VSM720874 WCH720863:WCI720874 WMD720863:WME720874 WVZ720863:WWA720874 S786399:T786410 JN786399:JO786410 TJ786399:TK786410 ADF786399:ADG786410 ANB786399:ANC786410 AWX786399:AWY786410 BGT786399:BGU786410 BQP786399:BQQ786410 CAL786399:CAM786410 CKH786399:CKI786410 CUD786399:CUE786410 DDZ786399:DEA786410 DNV786399:DNW786410 DXR786399:DXS786410 EHN786399:EHO786410 ERJ786399:ERK786410 FBF786399:FBG786410 FLB786399:FLC786410 FUX786399:FUY786410 GET786399:GEU786410 GOP786399:GOQ786410 GYL786399:GYM786410 HIH786399:HII786410 HSD786399:HSE786410 IBZ786399:ICA786410 ILV786399:ILW786410 IVR786399:IVS786410 JFN786399:JFO786410 JPJ786399:JPK786410 JZF786399:JZG786410 KJB786399:KJC786410 KSX786399:KSY786410 LCT786399:LCU786410 LMP786399:LMQ786410 LWL786399:LWM786410 MGH786399:MGI786410 MQD786399:MQE786410 MZZ786399:NAA786410 NJV786399:NJW786410 NTR786399:NTS786410 ODN786399:ODO786410 ONJ786399:ONK786410 OXF786399:OXG786410 PHB786399:PHC786410 PQX786399:PQY786410 QAT786399:QAU786410 QKP786399:QKQ786410 QUL786399:QUM786410 REH786399:REI786410 ROD786399:ROE786410 RXZ786399:RYA786410 SHV786399:SHW786410 SRR786399:SRS786410 TBN786399:TBO786410 TLJ786399:TLK786410 TVF786399:TVG786410 UFB786399:UFC786410 UOX786399:UOY786410 UYT786399:UYU786410 VIP786399:VIQ786410 VSL786399:VSM786410 WCH786399:WCI786410 WMD786399:WME786410 WVZ786399:WWA786410 S851935:T851946 JN851935:JO851946 TJ851935:TK851946 ADF851935:ADG851946 ANB851935:ANC851946 AWX851935:AWY851946 BGT851935:BGU851946 BQP851935:BQQ851946 CAL851935:CAM851946 CKH851935:CKI851946 CUD851935:CUE851946 DDZ851935:DEA851946 DNV851935:DNW851946 DXR851935:DXS851946 EHN851935:EHO851946 ERJ851935:ERK851946 FBF851935:FBG851946 FLB851935:FLC851946 FUX851935:FUY851946 GET851935:GEU851946 GOP851935:GOQ851946 GYL851935:GYM851946 HIH851935:HII851946 HSD851935:HSE851946 IBZ851935:ICA851946 ILV851935:ILW851946 IVR851935:IVS851946 JFN851935:JFO851946 JPJ851935:JPK851946 JZF851935:JZG851946 KJB851935:KJC851946 KSX851935:KSY851946 LCT851935:LCU851946 LMP851935:LMQ851946 LWL851935:LWM851946 MGH851935:MGI851946 MQD851935:MQE851946 MZZ851935:NAA851946 NJV851935:NJW851946 NTR851935:NTS851946 ODN851935:ODO851946 ONJ851935:ONK851946 OXF851935:OXG851946 PHB851935:PHC851946 PQX851935:PQY851946 QAT851935:QAU851946 QKP851935:QKQ851946 QUL851935:QUM851946 REH851935:REI851946 ROD851935:ROE851946 RXZ851935:RYA851946 SHV851935:SHW851946 SRR851935:SRS851946 TBN851935:TBO851946 TLJ851935:TLK851946 TVF851935:TVG851946 UFB851935:UFC851946 UOX851935:UOY851946 UYT851935:UYU851946 VIP851935:VIQ851946 VSL851935:VSM851946 WCH851935:WCI851946 WMD851935:WME851946 WVZ851935:WWA851946 S917471:T917482 JN917471:JO917482 TJ917471:TK917482 ADF917471:ADG917482 ANB917471:ANC917482 AWX917471:AWY917482 BGT917471:BGU917482 BQP917471:BQQ917482 CAL917471:CAM917482 CKH917471:CKI917482 CUD917471:CUE917482 DDZ917471:DEA917482 DNV917471:DNW917482 DXR917471:DXS917482 EHN917471:EHO917482 ERJ917471:ERK917482 FBF917471:FBG917482 FLB917471:FLC917482 FUX917471:FUY917482 GET917471:GEU917482 GOP917471:GOQ917482 GYL917471:GYM917482 HIH917471:HII917482 HSD917471:HSE917482 IBZ917471:ICA917482 ILV917471:ILW917482 IVR917471:IVS917482 JFN917471:JFO917482 JPJ917471:JPK917482 JZF917471:JZG917482 KJB917471:KJC917482 KSX917471:KSY917482 LCT917471:LCU917482 LMP917471:LMQ917482 LWL917471:LWM917482 MGH917471:MGI917482 MQD917471:MQE917482 MZZ917471:NAA917482 NJV917471:NJW917482 NTR917471:NTS917482 ODN917471:ODO917482 ONJ917471:ONK917482 OXF917471:OXG917482 PHB917471:PHC917482 PQX917471:PQY917482 QAT917471:QAU917482 QKP917471:QKQ917482 QUL917471:QUM917482 REH917471:REI917482 ROD917471:ROE917482 RXZ917471:RYA917482 SHV917471:SHW917482 SRR917471:SRS917482 TBN917471:TBO917482 TLJ917471:TLK917482 TVF917471:TVG917482 UFB917471:UFC917482 UOX917471:UOY917482 UYT917471:UYU917482 VIP917471:VIQ917482 VSL917471:VSM917482 WCH917471:WCI917482 WMD917471:WME917482 WVZ917471:WWA917482 S983007:T983018 JN983007:JO983018 TJ983007:TK983018 ADF983007:ADG983018 ANB983007:ANC983018 AWX983007:AWY983018 BGT983007:BGU983018 BQP983007:BQQ983018 CAL983007:CAM983018 CKH983007:CKI983018 CUD983007:CUE983018 DDZ983007:DEA983018 DNV983007:DNW983018 DXR983007:DXS983018 EHN983007:EHO983018 ERJ983007:ERK983018 FBF983007:FBG983018 FLB983007:FLC983018 FUX983007:FUY983018 GET983007:GEU983018 GOP983007:GOQ983018 GYL983007:GYM983018 HIH983007:HII983018 HSD983007:HSE983018 IBZ983007:ICA983018 ILV983007:ILW983018 IVR983007:IVS983018 JFN983007:JFO983018 JPJ983007:JPK983018 JZF983007:JZG983018 KJB983007:KJC983018 KSX983007:KSY983018 LCT983007:LCU983018 LMP983007:LMQ983018 LWL983007:LWM983018 MGH983007:MGI983018 MQD983007:MQE983018 MZZ983007:NAA983018 NJV983007:NJW983018 NTR983007:NTS983018 ODN983007:ODO983018 ONJ983007:ONK983018 OXF983007:OXG983018 PHB983007:PHC983018 PQX983007:PQY983018 QAT983007:QAU983018 QKP983007:QKQ983018 QUL983007:QUM983018 REH983007:REI983018 ROD983007:ROE983018 RXZ983007:RYA983018 SHV983007:SHW983018 SRR983007:SRS983018 TBN983007:TBO983018 TLJ983007:TLK983018 TVF983007:TVG983018 UFB983007:UFC983018 UOX983007:UOY983018 UYT983007:UYU983018 VIP983007:VIQ983018 VSL983007:VSM983018 WCH983007:WCI983018 WMD983007:WME983018 WVZ983007:WWA983018 I18" xr:uid="{8FEFB4D3-9251-4F1D-9474-88A30420AF63}"/>
  </dataValidations>
  <hyperlinks>
    <hyperlink ref="Y34" r:id="rId1" xr:uid="{FFA5483E-0300-4B2E-9B92-4E5D10B124B8}"/>
    <hyperlink ref="Y43" r:id="rId2" xr:uid="{8F8115B4-F1F8-4464-92EF-D6A2E95CA295}"/>
    <hyperlink ref="Y60" r:id="rId3" xr:uid="{66E697C2-AE92-49E0-9F1E-79D5E9CEC6FA}"/>
    <hyperlink ref="Y2" r:id="rId4" xr:uid="{2A0A09C2-159F-4935-899C-D903AD3FCACF}"/>
    <hyperlink ref="Y8" r:id="rId5" xr:uid="{595FB8E9-23A0-473F-BF03-27119F61F171}"/>
    <hyperlink ref="Y30" r:id="rId6" xr:uid="{F144AB79-1D0F-492C-A452-26A6F66901FD}"/>
    <hyperlink ref="Y39" r:id="rId7" xr:uid="{14D96A89-BD47-4C3B-9154-E0088CE6F3E1}"/>
    <hyperlink ref="Y52" r:id="rId8" xr:uid="{F7497A12-417D-419E-8C5B-D354838A2B59}"/>
  </hyperlinks>
  <pageMargins left="0.7" right="0.7" top="0.75" bottom="0.75" header="0.3" footer="0.3"/>
  <pageSetup paperSize="9" orientation="landscape" horizontalDpi="300" verticalDpi="300" r:id="rId9"/>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Doctors Payslip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PremKumar</dc:creator>
  <cp:lastModifiedBy>PremKumar</cp:lastModifiedBy>
  <dcterms:created xsi:type="dcterms:W3CDTF">2026-07-27T13:47:12Z</dcterms:created>
  <dcterms:modified xsi:type="dcterms:W3CDTF">2026-10-08T08:09:35Z</dcterms:modified>
</cp:coreProperties>
</file>